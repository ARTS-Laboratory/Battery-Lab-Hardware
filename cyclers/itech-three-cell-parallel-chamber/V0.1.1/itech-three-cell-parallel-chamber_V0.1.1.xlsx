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cyclers\itech-three-cell-parallel-chamber\V0.1.1\"/>
    </mc:Choice>
  </mc:AlternateContent>
  <xr:revisionPtr revIDLastSave="0" documentId="13_ncr:1_{B0CDA3E7-2F52-4847-9D3E-D37D43F7FE4F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F33" i="1"/>
  <c r="F34" i="1"/>
  <c r="F35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 l="1"/>
  <c r="F5" i="1"/>
  <c r="F6" i="1"/>
  <c r="F7" i="1"/>
  <c r="F8" i="1"/>
  <c r="F9" i="1"/>
  <c r="F11" i="1"/>
  <c r="F12" i="1"/>
  <c r="F13" i="1"/>
  <c r="F14" i="1"/>
  <c r="F3" i="1"/>
  <c r="F2" i="1"/>
  <c r="F51" i="1" l="1"/>
</calcChain>
</file>

<file path=xl/sharedStrings.xml><?xml version="1.0" encoding="utf-8"?>
<sst xmlns="http://schemas.openxmlformats.org/spreadsheetml/2006/main" count="179" uniqueCount="175">
  <si>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</si>
  <si>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</si>
  <si>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</si>
  <si>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</si>
  <si>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</si>
  <si>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</si>
  <si>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</si>
  <si>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</si>
  <si>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</si>
  <si>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</si>
  <si>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</si>
  <si>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</si>
  <si>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1339G5-BK</t>
  </si>
  <si>
    <t>PM16P1620S30</t>
  </si>
  <si>
    <t>CONTACT PIN 16-20AWG STD 7.7MM</t>
  </si>
  <si>
    <t>TERM BLADE NON-GEND 8AWG SILVER</t>
  </si>
  <si>
    <t>Total Cost (Per Cable)</t>
  </si>
  <si>
    <t>https://www.digikey.com/en/products/detail/anderson-power-products-inc/1339G5-BK/10650046</t>
  </si>
  <si>
    <t>8 AWG Red/black Wire</t>
  </si>
  <si>
    <t>Wire-RB-08-50</t>
  </si>
  <si>
    <t>Red/Black Bonded Zip Cord Easy ID Low Voltage Cable</t>
  </si>
  <si>
    <t>https://powerwerx.com/red-black-bonded-zip-cord</t>
  </si>
  <si>
    <t>Stranded Hookup Wire - Black</t>
  </si>
  <si>
    <t>Stranded Hookup Wire - Red</t>
  </si>
  <si>
    <t>Stranded Hookup Wire (300 Volt)</t>
  </si>
  <si>
    <t>https://powerwerx.com/stranded-hookup-wire-300volt-ul1007</t>
  </si>
  <si>
    <t>https://www.digikey.com/en/products/detail/anderson-power-products-inc/SBS75XBLK-BK/10650428</t>
  </si>
  <si>
    <t>SBS75XBLK-BK</t>
  </si>
  <si>
    <t>CONN HSG 6POS BLACK</t>
  </si>
  <si>
    <t>SBS 75 connector</t>
  </si>
  <si>
    <t>PM16S1620S32</t>
  </si>
  <si>
    <t>CONTACT SOCKET 16-20AWG</t>
  </si>
  <si>
    <t>https://www.digikey.com/en/products/detail/anderson-power-products-inc/PM16P1620S30/10650436</t>
  </si>
  <si>
    <t>https://www.digikey.com/en/products/detail/anderson-power-products-inc/PM16S1620S32/10650063</t>
  </si>
  <si>
    <t>Wire-ST-16-00-100</t>
  </si>
  <si>
    <t>Wire-ST-16-02-100</t>
  </si>
  <si>
    <t>https://www.digikey.com/en/products/detail/remington-industries/16UL1007STRBLA/11613043</t>
  </si>
  <si>
    <t>https://www.digikey.com/en/products/detail/remington-industries/16UL1007STRRED/11613259</t>
  </si>
  <si>
    <t>8 AWG main contact</t>
  </si>
  <si>
    <t>SBS 75 auxiliary pin</t>
  </si>
  <si>
    <t>SBS 75 auxiliary socket</t>
  </si>
  <si>
    <t>https://www.digikey.com/en/products/detail/techflex/NMN0-50BK100/2524519</t>
  </si>
  <si>
    <t>SLEEVING 0.5" ID POLY 100' BLACK</t>
  </si>
  <si>
    <t>Mesh Sleeving</t>
  </si>
  <si>
    <t>NMN0.50BK100</t>
  </si>
  <si>
    <t xml:space="preserve">SB50/120 T Handle </t>
  </si>
  <si>
    <t>Connector T Handle For SBS® 50, SBS® 75X Series</t>
  </si>
  <si>
    <t>113899P1</t>
  </si>
  <si>
    <t>https://www.digikey.com/en/products/detail/anderson-power-products-inc/113899P1/10647423?s=N4IgTCBcDaIIxwMwA4CcqAKcQF0C%2BQA</t>
  </si>
  <si>
    <t>Standard Socket Head Cap Screw: M3x0.50, 20 mm Lg, Low-Profile Std, Black Oxide, Alloy Steel, 50 PK</t>
  </si>
  <si>
    <t>LHS4803020-050P1</t>
  </si>
  <si>
    <t>https://www.grainger.com/product/Standard-Socket-Head-Cap-Screw-6EA45</t>
  </si>
  <si>
    <t>T Handle Hex Nut</t>
  </si>
  <si>
    <t>Hex Nut: Std Hex, M3x0.50 Thread, 5.5 mm Hex Wd, 2.4 mm Hex Ht, Steel, Class 8, Zinc-Plated, 100 PK</t>
  </si>
  <si>
    <t>M01300.030.0001</t>
  </si>
  <si>
    <t>https://www.grainger.com/product/Hex-Nut-Std-Hex-26KR85?searchQuery=M01300.030.0001&amp;searchBar=true&amp;tier=Tier+6&amp;suggestConfigId=6&amp;s_e=false</t>
  </si>
  <si>
    <t>SBS75 Handle Screws</t>
  </si>
  <si>
    <t>Amount Per System</t>
  </si>
  <si>
    <t>DIN Rail Mounting Track</t>
  </si>
  <si>
    <t>APPROVED VENDOR Mounting Track: DIN Rail Mounting, Aluminum, 35 mm Wd, 1 m Lg</t>
  </si>
  <si>
    <t>18Z758</t>
  </si>
  <si>
    <t>2-Pole Barrier Terminal Strip</t>
  </si>
  <si>
    <t>APPROVED VENDOR Barrier Terminal Strip: 2 Poles, 22 AWG – 10 AWG For Wire Sizes, 30 A Max Current</t>
  </si>
  <si>
    <t>6YH63</t>
  </si>
  <si>
    <t>6-Pole Barrier Terminal Strip</t>
  </si>
  <si>
    <t>APPROVED VENDOR Barrier Terminal Strip: 6 Poles, 22 AWG – 10 AWG For Wire Sizes, 30 A Max Current</t>
  </si>
  <si>
    <t>6YH65</t>
  </si>
  <si>
    <t>Terminal Block Jumper</t>
  </si>
  <si>
    <t>APPROVED VENDOR Jumper: Gray, Terminal Block</t>
  </si>
  <si>
    <t>6YH71</t>
  </si>
  <si>
    <t>Pine Project Board</t>
  </si>
  <si>
    <t>RELIABILT 3/4-in x 12-in x 6-ft Unfinished S4S Pine Edge-glued Project Softwood Board</t>
  </si>
  <si>
    <t>L5PAN172112P6</t>
  </si>
  <si>
    <t>#8 × 1 in Wood Screw</t>
  </si>
  <si>
    <t>Wood Screw: #8 Size, 1 in Lg, Stainless Steel, Round, Phillips, 100 PK</t>
  </si>
  <si>
    <t>U51866.016.0100</t>
  </si>
  <si>
    <t xml:space="preserve">https://www.grainger.com/product/Mounting-Track-DIN-Rail-Mounting-18Z758 </t>
  </si>
  <si>
    <t xml:space="preserve">https://www.grainger.com/product/Terminal-Strip-10-AWG-For-6YH63 </t>
  </si>
  <si>
    <t xml:space="preserve">https://www.grainger.com/product/Barrier-Terminal-Strip-6-Poles-6YH65 </t>
  </si>
  <si>
    <t xml:space="preserve">https://www.grainger.com/product/Jumper-Gray-6YH71 </t>
  </si>
  <si>
    <t xml:space="preserve">https://www.lowes.com/pd/ReliaBilt-21-32-in-x-12-in-x-6-ft-Square-Unfinished-Spruce-Pine-Fir-Board/5002124771 </t>
  </si>
  <si>
    <t xml:space="preserve">https://www.grainger.com/product/Wood-Screw-8-Size-31JG35 </t>
  </si>
  <si>
    <t>4-Channel FluxGate Current Sensor</t>
  </si>
  <si>
    <t>IsoBlock I-FG-4c Low Cost Inline Current Transducer Module (FluxGate)</t>
  </si>
  <si>
    <t>IsoBlock I-FG-4c</t>
  </si>
  <si>
    <t>Only one needed; evaluating</t>
  </si>
  <si>
    <t>https://www.verivolt.com/shop/isoblock-i-fg-4c-309</t>
  </si>
  <si>
    <t>1-Channel FluxGate Current Sensor</t>
  </si>
  <si>
    <t>IsoBlock I-FG-1c Inline Current Sensor (FluxGate)</t>
  </si>
  <si>
    <t>IsoBlock I-FG-1c</t>
  </si>
  <si>
    <t>Alternative; three units needed</t>
  </si>
  <si>
    <t>https://www.verivolt.com/shop/isoblock-i-fg-1c-311</t>
  </si>
  <si>
    <t>10 A DC Current Transducer</t>
  </si>
  <si>
    <t>CURRENT SENSOR MAGNETIC/CL 10A</t>
  </si>
  <si>
    <t>CR5210-10</t>
  </si>
  <si>
    <t>Lower-cost option; evaluating performance</t>
  </si>
  <si>
    <t>https://www.digikey.com/en/products/detail/cr-magnetics-inc/CR5210-10/1833164</t>
  </si>
  <si>
    <t>strain DAQ</t>
  </si>
  <si>
    <t>NI-9236</t>
  </si>
  <si>
    <t>https://www.ni.com/en-us/shop/model/ni-9236.html?srsltid=AfmBOorMY5vEvxvX3ChJ7onLrgeEJ12iARSG8zOQW9Ncc0Uy1GemXkRh</t>
  </si>
  <si>
    <t>https://www.digikey.com/en/products/detail/ni/785996-01/15219166</t>
  </si>
  <si>
    <t>785996-01</t>
  </si>
  <si>
    <t>strain gauge (3 ft lead)</t>
  </si>
  <si>
    <t>C4A-06-235SLA-350-33P</t>
  </si>
  <si>
    <t>https://shop.micro-measurements.com/my_cart_item_list.php?v_cat_code=STRESS_ANALYSIS_STRAIN_GAGE</t>
  </si>
  <si>
    <t>https://www.digikey.com/en/products/detail/micro-measurements-division-of-vishay-precision-group/C4A-06-235SLA-350-33P/16580673</t>
  </si>
  <si>
    <t>Strain Gauge Coating</t>
  </si>
  <si>
    <t>CONFORMAL COATING UL 94V-0</t>
  </si>
  <si>
    <t>https://www.digikey.com/en/products/detail/mg-chemicals/419D-55ML/9657990</t>
  </si>
  <si>
    <t>Strain Gauge Adhesive</t>
  </si>
  <si>
    <t>MULTI PACK (5 2GRAMS)</t>
  </si>
  <si>
    <t>MMF326346</t>
  </si>
  <si>
    <t>M-Bond 200 strain gauge glue</t>
  </si>
  <si>
    <t>https://www.digikey.com/en/products/detail/micro-measurements-division-of-vishay-precision-group/MMF326346/5891958</t>
  </si>
  <si>
    <t>strain gauge (9 ft lead)</t>
  </si>
  <si>
    <t>C4A-06-235SLA-350-39P</t>
  </si>
  <si>
    <t>https://www.digikey.com/en/products/detail/micro-measurements-division-of-vishay-precision-group/MMF404146/9857834</t>
  </si>
  <si>
    <t>42U Mobile Equipment Rack</t>
  </si>
  <si>
    <t>StarTech 4-Post 42U Mobile Open Frame Server Rack, 19in Rolling Network Rack</t>
  </si>
  <si>
    <t>4POSTRACK42</t>
  </si>
  <si>
    <t>Main equipment rack</t>
  </si>
  <si>
    <t>https://www.cdwg.com/product/startech-4-post-42u-mobile-open-frame-server-rack-19in-rolling-network-rac/3252185</t>
  </si>
  <si>
    <t>Adjustable Rack Shelf</t>
  </si>
  <si>
    <t>StarTech 1U 19.5 to 38in Adjustable Mounting Depth Vented Rack Mount Shelf</t>
  </si>
  <si>
    <t>ADJSHELF</t>
  </si>
  <si>
    <t>Three shelves needed</t>
  </si>
  <si>
    <t>https://www.cdwg.com/product/startech-1u-19.5-to-38in-adjustable-mounting-depth-vented-rack-mount-shelf/1409337</t>
  </si>
  <si>
    <t>4U Rack Storage Drawer</t>
  </si>
  <si>
    <t>Eaton Tripp Lite Series 4U Locking Rackmount Storage Drawer</t>
  </si>
  <si>
    <t>SRDRAWER4U</t>
  </si>
  <si>
    <t>Locking equipment storage</t>
  </si>
  <si>
    <t>https://www.cdwg.com/product/tripp-lite-4u-locking-rackmount-storage-drawer-rack-enclosures-open-frame/4940772</t>
  </si>
  <si>
    <t>Rack Monitor Mount</t>
  </si>
  <si>
    <t>StarTech 4U Universal VESA LCD Monitor Mounting Bracket for 19-inch Rack or Cabinet</t>
  </si>
  <si>
    <t>RKLCDBK</t>
  </si>
  <si>
    <t>Rack-mounted monitor bracket</t>
  </si>
  <si>
    <t>https://www.cdwg.com/product/startech-4u-universal-vesa-lcd-monitor-mounting-bracket-for-19-inch-rack-or/1792048</t>
  </si>
  <si>
    <t>NI Rack Mount Kit</t>
  </si>
  <si>
    <t>INDUSTRIAL RACK MOUNT KIT FOR CO</t>
  </si>
  <si>
    <t>786411-01</t>
  </si>
  <si>
    <t>CompactDAQ/CompactRIO rack mount</t>
  </si>
  <si>
    <t>https://www.digikey.com/en/products/detail/ni/786411-01/15219108</t>
  </si>
  <si>
    <t>Thermocouple Input Module</t>
  </si>
  <si>
    <t>NI-9210, 4-Channel, 14 S/s Aggregate, ±80 mV C Series Temperature Input Module</t>
  </si>
  <si>
    <t>784788-01</t>
  </si>
  <si>
    <t>4-channel thermocouple module</t>
  </si>
  <si>
    <t>https://www.ni.com/en/shop/hardware/temperature/model-ni-9210</t>
  </si>
  <si>
    <t>Voltage Input Module</t>
  </si>
  <si>
    <t>NI-9201, ±10 V, 500 kS/s, 12-Bit, 8-Channel C Series Voltage Input Module</t>
  </si>
  <si>
    <t>779013-01</t>
  </si>
  <si>
    <t>8-channel analog voltage input</t>
  </si>
  <si>
    <t>https://www.ni.com/en/shop/model/ni-9201.html</t>
  </si>
  <si>
    <t>https://www.digikey.com/en/products/detail/ni/784788-01/15219142</t>
  </si>
  <si>
    <t>https://www.digikey.com/en/products/detail/ni/779013-01/15219194</t>
  </si>
  <si>
    <t>K-Type Thermocouple</t>
  </si>
  <si>
    <t>TC-K-TYPE</t>
  </si>
  <si>
    <t>https://www.digikey.com/en/products/detail/olimex-ltd/TC-K-TYPE/21662067</t>
  </si>
  <si>
    <t>https://www.grainger.com/product/TEST-PRODUCTS-INTL-Immersion-Temperature-Probe-3LRX6</t>
  </si>
  <si>
    <t>SENSOR TEMP -50~700C CONNECTOR</t>
  </si>
  <si>
    <t>Linear Strain Gauge ±3% 0.235" (5.97mm) 0.100" (2.54mm)</t>
  </si>
  <si>
    <t>CompactRIO Controller</t>
  </si>
  <si>
    <t>cRIO-9035, 1.33 GHz Dual-Core CPU, 1 GB DRAM, 4 GB Storage, Kintex-7 70T FPGA, 8-Slot CompactRIO Controller</t>
  </si>
  <si>
    <t>783848-01</t>
  </si>
  <si>
    <t>Main DAQ/controller chassis</t>
  </si>
  <si>
    <t>https://www.ni.com/en/shop/hardware/compactrio-controllers/model-crio-9035</t>
  </si>
  <si>
    <t>Mini DisplayPort to HDMI Cable</t>
  </si>
  <si>
    <t>Eaton Tripp Lite Series Mini DisplayPort 1.4 to HDMI Active Adapter Cable</t>
  </si>
  <si>
    <t>cRIO to rack monitor</t>
  </si>
  <si>
    <t>https://www.cdwg.com/product/eaton-tripp-lite-series-mini-displayport-1.4-to-hdmi-active-adapter-cable/6849656</t>
  </si>
  <si>
    <t>P582-006-HD-V4A</t>
  </si>
  <si>
    <t>3/4 in Heat Shrink Tubing</t>
  </si>
  <si>
    <t>SHRINK-KON Heat Shrink Tubing: 0.75 in I.D. Before Shrinking, 0.38 in I.D. After Shrinking, 10 PK</t>
  </si>
  <si>
    <t>CPO75006</t>
  </si>
  <si>
    <t>2:1 shrink, black, 10-pack</t>
  </si>
  <si>
    <t>https://www.grainger.com/product/SHRINK-KON-Heat-Shrink-Tubing-0-75-in-3KH60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</si>
</sst>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left" vertical="center" wrapText="1"/>
    </xf>
    <xf numFmtId="0" fontId="6" fillId="0" borderId="0" xfId="2" applyFont="1" applyAlignment="1">
      <alignment vertical="top"/>
    </xf>
    <xf numFmtId="0" fontId="1" fillId="0" borderId="0" xfId="1" applyAlignment="1">
      <alignment vertical="top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1" fillId="0" borderId="0" xfId="1" applyAlignment="1">
      <alignment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remington-industries/16UL1007STRBLA/11613043" TargetMode="External"/><Relationship Id="rId13" Type="http://schemas.openxmlformats.org/officeDocument/2006/relationships/hyperlink" Target="https://www.grainger.com/product/Mounting-Track-DIN-Rail-Mounting-18Z758" TargetMode="External"/><Relationship Id="rId18" Type="http://schemas.openxmlformats.org/officeDocument/2006/relationships/hyperlink" Target="https://www.grainger.com/product/Wood-Screw-8-Size-31JG35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powerwerx.com/stranded-hookup-wire-300volt-ul1007" TargetMode="External"/><Relationship Id="rId21" Type="http://schemas.openxmlformats.org/officeDocument/2006/relationships/hyperlink" Target="https://www.digikey.com/en/products/detail/micro-measurements-division-of-vishay-precision-group/MMF404146/9857834" TargetMode="External"/><Relationship Id="rId7" Type="http://schemas.openxmlformats.org/officeDocument/2006/relationships/hyperlink" Target="https://www.digikey.com/en/products/detail/anderson-power-products-inc/PM16S1620S32/10650063" TargetMode="External"/><Relationship Id="rId12" Type="http://schemas.openxmlformats.org/officeDocument/2006/relationships/hyperlink" Target="https://www.digikey.com/en/products/detail/anderson-power-products-inc/113899P1/10647423?s=N4IgTCBcDaIIxwMwA4CcqAKcQF0C%2BQA" TargetMode="External"/><Relationship Id="rId17" Type="http://schemas.openxmlformats.org/officeDocument/2006/relationships/hyperlink" Target="https://www.lowes.com/pd/ReliaBilt-21-32-in-x-12-in-x-6-ft-Square-Unfinished-Spruce-Pine-Fir-Board/5002124771" TargetMode="External"/><Relationship Id="rId25" Type="http://schemas.openxmlformats.org/officeDocument/2006/relationships/hyperlink" Target="https://www.digikey.com/en/products/detail/micro-measurements-division-of-vishay-precision-group/C4A-06-235SLA-350-33P/16580673" TargetMode="External"/><Relationship Id="rId2" Type="http://schemas.openxmlformats.org/officeDocument/2006/relationships/hyperlink" Target="https://www.digikey.com/en/products/detail/anderson-power-products-inc/1339G5-BK/10650046" TargetMode="External"/><Relationship Id="rId16" Type="http://schemas.openxmlformats.org/officeDocument/2006/relationships/hyperlink" Target="https://www.grainger.com/product/Jumper-Gray-6YH71" TargetMode="External"/><Relationship Id="rId20" Type="http://schemas.openxmlformats.org/officeDocument/2006/relationships/hyperlink" Target="https://www.digikey.com/en/products/detail/mg-chemicals/419D-55ML/9657990" TargetMode="External"/><Relationship Id="rId1" Type="http://schemas.openxmlformats.org/officeDocument/2006/relationships/hyperlink" Target="https://powerwerx.com/red-black-bonded-zip-cord" TargetMode="External"/><Relationship Id="rId6" Type="http://schemas.openxmlformats.org/officeDocument/2006/relationships/hyperlink" Target="https://www.digikey.com/en/products/detail/anderson-power-products-inc/PM16P1620S30/10650436" TargetMode="External"/><Relationship Id="rId11" Type="http://schemas.openxmlformats.org/officeDocument/2006/relationships/hyperlink" Target="https://www.grainger.com/product/Hex-Nut-Std-Hex-26KR85?searchQuery=M01300.030.0001&amp;searchBar=true&amp;tier=Tier+6&amp;suggestConfigId=6&amp;s_e=false" TargetMode="External"/><Relationship Id="rId24" Type="http://schemas.openxmlformats.org/officeDocument/2006/relationships/hyperlink" Target="https://www.digikey.com/en/products/detail/ni/779013-01/15219194" TargetMode="External"/><Relationship Id="rId5" Type="http://schemas.openxmlformats.org/officeDocument/2006/relationships/hyperlink" Target="https://www.digikey.com/en/products/detail/anderson-power-products-inc/SBS75XBLK-BK/10650428" TargetMode="External"/><Relationship Id="rId15" Type="http://schemas.openxmlformats.org/officeDocument/2006/relationships/hyperlink" Target="https://www.grainger.com/product/Terminal-Strip-10-AWG-For-6YH63" TargetMode="External"/><Relationship Id="rId23" Type="http://schemas.openxmlformats.org/officeDocument/2006/relationships/hyperlink" Target="https://www.digikey.com/en/products/detail/ni/784788-01/15219142" TargetMode="External"/><Relationship Id="rId10" Type="http://schemas.openxmlformats.org/officeDocument/2006/relationships/hyperlink" Target="https://www.digikey.com/en/products/detail/techflex/NMN0-50BK100/2524519" TargetMode="External"/><Relationship Id="rId19" Type="http://schemas.openxmlformats.org/officeDocument/2006/relationships/hyperlink" Target="https://www.ni.com/en-us/shop/model/ni-9236.html?srsltid=AfmBOorMY5vEvxvX3ChJ7onLrgeEJ12iARSG8zOQW9Ncc0Uy1GemXkRh" TargetMode="External"/><Relationship Id="rId4" Type="http://schemas.openxmlformats.org/officeDocument/2006/relationships/hyperlink" Target="https://powerwerx.com/stranded-hookup-wire-300volt-ul1007" TargetMode="External"/><Relationship Id="rId9" Type="http://schemas.openxmlformats.org/officeDocument/2006/relationships/hyperlink" Target="https://www.digikey.com/en/products/detail/remington-industries/16UL1007STRRED/11613259" TargetMode="External"/><Relationship Id="rId14" Type="http://schemas.openxmlformats.org/officeDocument/2006/relationships/hyperlink" Target="https://www.grainger.com/product/Barrier-Terminal-Strip-6-Poles-6YH65" TargetMode="External"/><Relationship Id="rId22" Type="http://schemas.openxmlformats.org/officeDocument/2006/relationships/hyperlink" Target="https://shop.micro-measurements.com/my_cart_item_list.php?v_cat_code=STRESS_ANALYSIS_STRAIN_G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54"/>
  <sheetViews>
    <sheetView tabSelected="1" zoomScale="85" zoomScaleNormal="85" workbookViewId="0">
      <selection activeCell="H41" sqref="H41"/>
    </sheetView>
  </sheetViews>
  <sheetFormatPr defaultColWidth="8.85546875" defaultRowHeight="15" x14ac:dyDescent="0.25"/>
  <cols>
    <col min="1" max="1" width="22.28515625" customWidth="1"/>
    <col min="2" max="2" width="40.5703125" customWidth="1"/>
    <col min="3" max="3" width="20.7109375" customWidth="1"/>
    <col min="4" max="4" width="15.85546875" bestFit="1" customWidth="1"/>
    <col min="5" max="5" width="13.5703125" bestFit="1" customWidth="1"/>
    <col min="6" max="6" width="18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10</v>
      </c>
      <c r="B1" s="6" t="s">
        <v>11</v>
      </c>
      <c r="C1" s="6" t="s">
        <v>9</v>
      </c>
      <c r="D1" s="6" t="s">
        <v>57</v>
      </c>
      <c r="E1" s="6" t="s">
        <v>0</v>
      </c>
      <c r="F1" s="6" t="s">
        <v>16</v>
      </c>
      <c r="G1" s="6" t="s">
        <v>8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</row>
    <row r="2" spans="1:13" ht="15" customHeight="1" x14ac:dyDescent="0.25">
      <c r="A2" t="s">
        <v>38</v>
      </c>
      <c r="B2" s="2" t="s">
        <v>15</v>
      </c>
      <c r="C2" s="2" t="s">
        <v>12</v>
      </c>
      <c r="D2" s="2">
        <v>2</v>
      </c>
      <c r="E2" s="9">
        <v>2.72</v>
      </c>
      <c r="F2" s="9">
        <f>E2*D2</f>
        <v>5.44</v>
      </c>
      <c r="G2" s="5"/>
      <c r="H2" s="1" t="s">
        <v>17</v>
      </c>
      <c r="J2" s="2"/>
    </row>
    <row r="3" spans="1:13" ht="15" customHeight="1" x14ac:dyDescent="0.25">
      <c r="A3" s="10" t="s">
        <v>22</v>
      </c>
      <c r="B3" s="2" t="s">
        <v>24</v>
      </c>
      <c r="C3" s="2" t="s">
        <v>34</v>
      </c>
      <c r="D3" s="2">
        <v>1</v>
      </c>
      <c r="E3" s="9">
        <v>12.54</v>
      </c>
      <c r="F3" s="9">
        <f t="shared" ref="F3:F35" si="0">E3*D3</f>
        <v>12.54</v>
      </c>
      <c r="G3" s="5"/>
      <c r="H3" s="1" t="s">
        <v>25</v>
      </c>
      <c r="I3" s="1" t="s">
        <v>36</v>
      </c>
    </row>
    <row r="4" spans="1:13" ht="15" customHeight="1" x14ac:dyDescent="0.25">
      <c r="A4" s="10" t="s">
        <v>23</v>
      </c>
      <c r="B4" s="2" t="s">
        <v>24</v>
      </c>
      <c r="C4" s="2" t="s">
        <v>35</v>
      </c>
      <c r="D4" s="2">
        <v>1</v>
      </c>
      <c r="E4" s="9">
        <v>12.54</v>
      </c>
      <c r="F4" s="9">
        <f t="shared" si="0"/>
        <v>12.54</v>
      </c>
      <c r="G4" s="5"/>
      <c r="H4" s="1" t="s">
        <v>25</v>
      </c>
      <c r="I4" s="1" t="s">
        <v>37</v>
      </c>
    </row>
    <row r="5" spans="1:13" ht="15" customHeight="1" x14ac:dyDescent="0.25">
      <c r="A5" s="10" t="s">
        <v>18</v>
      </c>
      <c r="B5" s="2" t="s">
        <v>20</v>
      </c>
      <c r="C5" s="2" t="s">
        <v>19</v>
      </c>
      <c r="D5" s="2">
        <v>1</v>
      </c>
      <c r="E5" s="9">
        <v>128.19</v>
      </c>
      <c r="F5" s="9">
        <f t="shared" si="0"/>
        <v>128.19</v>
      </c>
      <c r="G5" s="5"/>
      <c r="H5" s="1" t="s">
        <v>21</v>
      </c>
      <c r="I5" s="4"/>
    </row>
    <row r="6" spans="1:13" ht="15" customHeight="1" x14ac:dyDescent="0.25">
      <c r="A6" s="10" t="s">
        <v>29</v>
      </c>
      <c r="B6" s="14" t="s">
        <v>28</v>
      </c>
      <c r="C6" s="2" t="s">
        <v>27</v>
      </c>
      <c r="D6" s="2">
        <v>1</v>
      </c>
      <c r="E6" s="9">
        <v>6.15</v>
      </c>
      <c r="F6" s="9">
        <f t="shared" si="0"/>
        <v>6.15</v>
      </c>
      <c r="G6" s="5"/>
      <c r="H6" s="1" t="s">
        <v>26</v>
      </c>
      <c r="I6" s="4"/>
      <c r="J6" s="3"/>
      <c r="K6" s="3"/>
    </row>
    <row r="7" spans="1:13" ht="15" customHeight="1" x14ac:dyDescent="0.25">
      <c r="A7" s="10" t="s">
        <v>39</v>
      </c>
      <c r="B7" s="2" t="s">
        <v>14</v>
      </c>
      <c r="C7" s="2" t="s">
        <v>13</v>
      </c>
      <c r="D7" s="2">
        <v>2</v>
      </c>
      <c r="E7" s="9">
        <v>2.4</v>
      </c>
      <c r="F7" s="9">
        <f t="shared" si="0"/>
        <v>4.8</v>
      </c>
      <c r="G7" s="5"/>
      <c r="H7" s="1" t="s">
        <v>32</v>
      </c>
      <c r="I7" s="4"/>
    </row>
    <row r="8" spans="1:13" ht="15" customHeight="1" x14ac:dyDescent="0.25">
      <c r="A8" s="10" t="s">
        <v>40</v>
      </c>
      <c r="B8" s="2" t="s">
        <v>31</v>
      </c>
      <c r="C8" s="2" t="s">
        <v>30</v>
      </c>
      <c r="D8" s="2">
        <v>2</v>
      </c>
      <c r="E8" s="9">
        <v>2.4</v>
      </c>
      <c r="F8" s="9">
        <f t="shared" si="0"/>
        <v>4.8</v>
      </c>
      <c r="G8" s="5"/>
      <c r="H8" s="1" t="s">
        <v>33</v>
      </c>
      <c r="I8" s="4"/>
    </row>
    <row r="9" spans="1:13" ht="15" customHeight="1" x14ac:dyDescent="0.25">
      <c r="A9" s="10" t="s">
        <v>43</v>
      </c>
      <c r="B9" s="2" t="s">
        <v>42</v>
      </c>
      <c r="C9" s="4" t="s">
        <v>44</v>
      </c>
      <c r="D9" s="2">
        <v>1</v>
      </c>
      <c r="E9" s="9">
        <v>72.62</v>
      </c>
      <c r="F9" s="9">
        <f t="shared" si="0"/>
        <v>72.62</v>
      </c>
      <c r="G9" s="5"/>
      <c r="H9" s="1" t="s">
        <v>41</v>
      </c>
      <c r="I9" s="4"/>
    </row>
    <row r="10" spans="1:13" ht="15" customHeight="1" x14ac:dyDescent="0.25">
      <c r="A10" t="s">
        <v>170</v>
      </c>
      <c r="B10" t="s">
        <v>171</v>
      </c>
      <c r="C10" t="s">
        <v>172</v>
      </c>
      <c r="D10">
        <v>1</v>
      </c>
      <c r="E10" s="17">
        <v>5.14</v>
      </c>
      <c r="F10" s="17">
        <v>5.14</v>
      </c>
      <c r="G10" t="s">
        <v>173</v>
      </c>
      <c r="H10" t="s">
        <v>174</v>
      </c>
      <c r="I10" s="4"/>
    </row>
    <row r="11" spans="1:13" ht="15" customHeight="1" x14ac:dyDescent="0.25">
      <c r="A11" s="10" t="s">
        <v>45</v>
      </c>
      <c r="B11" s="2" t="s">
        <v>46</v>
      </c>
      <c r="C11" s="2" t="s">
        <v>47</v>
      </c>
      <c r="D11" s="2">
        <v>1</v>
      </c>
      <c r="E11" s="8">
        <v>2.72</v>
      </c>
      <c r="F11" s="9">
        <f t="shared" si="0"/>
        <v>2.72</v>
      </c>
      <c r="G11" s="5"/>
      <c r="H11" s="3" t="s">
        <v>48</v>
      </c>
      <c r="I11" s="4"/>
    </row>
    <row r="12" spans="1:13" ht="15" customHeight="1" x14ac:dyDescent="0.25">
      <c r="A12" s="10" t="s">
        <v>56</v>
      </c>
      <c r="B12" s="2" t="s">
        <v>49</v>
      </c>
      <c r="C12" s="2" t="s">
        <v>50</v>
      </c>
      <c r="D12" s="2">
        <v>4</v>
      </c>
      <c r="E12" s="8">
        <v>0.37</v>
      </c>
      <c r="F12" s="9">
        <f t="shared" si="0"/>
        <v>1.48</v>
      </c>
      <c r="G12" s="5"/>
      <c r="H12" s="3" t="s">
        <v>51</v>
      </c>
      <c r="I12" s="4"/>
    </row>
    <row r="13" spans="1:13" ht="15" customHeight="1" x14ac:dyDescent="0.25">
      <c r="A13" s="15" t="s">
        <v>52</v>
      </c>
      <c r="B13" s="11" t="s">
        <v>53</v>
      </c>
      <c r="C13" s="11" t="s">
        <v>54</v>
      </c>
      <c r="D13" s="12">
        <v>4</v>
      </c>
      <c r="E13" s="13">
        <v>0.04</v>
      </c>
      <c r="F13" s="9">
        <f t="shared" si="0"/>
        <v>0.16</v>
      </c>
      <c r="G13" s="11"/>
      <c r="H13" s="16" t="s">
        <v>55</v>
      </c>
      <c r="I13" s="4"/>
    </row>
    <row r="14" spans="1:13" ht="15" customHeight="1" x14ac:dyDescent="0.25">
      <c r="A14" s="4" t="s">
        <v>58</v>
      </c>
      <c r="B14" s="4" t="s">
        <v>59</v>
      </c>
      <c r="C14" s="4" t="s">
        <v>60</v>
      </c>
      <c r="D14" s="4">
        <v>1</v>
      </c>
      <c r="E14" s="18">
        <v>9.99</v>
      </c>
      <c r="F14" s="9">
        <f t="shared" si="0"/>
        <v>9.99</v>
      </c>
      <c r="G14" s="11"/>
      <c r="H14" s="19" t="s">
        <v>76</v>
      </c>
      <c r="I14" s="4"/>
    </row>
    <row r="15" spans="1:13" ht="15" customHeight="1" x14ac:dyDescent="0.25">
      <c r="A15" s="4" t="s">
        <v>64</v>
      </c>
      <c r="B15" s="4" t="s">
        <v>65</v>
      </c>
      <c r="C15" s="4" t="s">
        <v>66</v>
      </c>
      <c r="D15" s="4">
        <v>2</v>
      </c>
      <c r="E15" s="18">
        <v>11.18</v>
      </c>
      <c r="F15" s="9">
        <f t="shared" si="0"/>
        <v>22.36</v>
      </c>
      <c r="G15" s="11"/>
      <c r="H15" s="19" t="s">
        <v>78</v>
      </c>
      <c r="I15" s="4"/>
    </row>
    <row r="16" spans="1:13" ht="15" customHeight="1" x14ac:dyDescent="0.25">
      <c r="A16" s="4" t="s">
        <v>61</v>
      </c>
      <c r="B16" s="4" t="s">
        <v>62</v>
      </c>
      <c r="C16" s="4" t="s">
        <v>63</v>
      </c>
      <c r="D16" s="4">
        <v>6</v>
      </c>
      <c r="E16" s="18">
        <v>3.85</v>
      </c>
      <c r="F16" s="9">
        <f t="shared" si="0"/>
        <v>23.1</v>
      </c>
      <c r="G16" s="11"/>
      <c r="H16" s="19" t="s">
        <v>77</v>
      </c>
      <c r="I16" s="4"/>
    </row>
    <row r="17" spans="1:10" ht="15" customHeight="1" x14ac:dyDescent="0.25">
      <c r="A17" s="4" t="s">
        <v>67</v>
      </c>
      <c r="B17" s="4" t="s">
        <v>68</v>
      </c>
      <c r="C17" s="4" t="s">
        <v>69</v>
      </c>
      <c r="D17" s="4">
        <v>2</v>
      </c>
      <c r="E17" s="18">
        <v>8.19</v>
      </c>
      <c r="F17" s="9">
        <f t="shared" si="0"/>
        <v>16.38</v>
      </c>
      <c r="G17" s="11"/>
      <c r="H17" s="19" t="s">
        <v>79</v>
      </c>
      <c r="I17" s="4"/>
    </row>
    <row r="18" spans="1:10" ht="15" customHeight="1" x14ac:dyDescent="0.25">
      <c r="A18" s="4" t="s">
        <v>70</v>
      </c>
      <c r="B18" s="4" t="s">
        <v>71</v>
      </c>
      <c r="C18" s="4" t="s">
        <v>72</v>
      </c>
      <c r="D18" s="4">
        <v>1</v>
      </c>
      <c r="E18" s="18">
        <v>15.98</v>
      </c>
      <c r="F18" s="9">
        <f t="shared" si="0"/>
        <v>15.98</v>
      </c>
      <c r="G18" s="11"/>
      <c r="H18" s="19" t="s">
        <v>80</v>
      </c>
      <c r="I18" s="4"/>
    </row>
    <row r="19" spans="1:10" ht="15" customHeight="1" x14ac:dyDescent="0.25">
      <c r="A19" s="4" t="s">
        <v>73</v>
      </c>
      <c r="B19" s="4" t="s">
        <v>74</v>
      </c>
      <c r="C19" s="4" t="s">
        <v>75</v>
      </c>
      <c r="D19" s="4">
        <v>1</v>
      </c>
      <c r="E19" s="18">
        <v>19.989999999999998</v>
      </c>
      <c r="F19" s="9">
        <f t="shared" si="0"/>
        <v>19.989999999999998</v>
      </c>
      <c r="G19" s="11"/>
      <c r="H19" s="19" t="s">
        <v>81</v>
      </c>
      <c r="I19" s="4"/>
    </row>
    <row r="20" spans="1:10" ht="15" customHeight="1" x14ac:dyDescent="0.25">
      <c r="A20" s="15" t="s">
        <v>82</v>
      </c>
      <c r="B20" s="11" t="s">
        <v>83</v>
      </c>
      <c r="C20" s="11" t="s">
        <v>84</v>
      </c>
      <c r="D20" s="12">
        <v>1</v>
      </c>
      <c r="E20" s="13">
        <v>820</v>
      </c>
      <c r="F20" s="9">
        <f t="shared" si="0"/>
        <v>820</v>
      </c>
      <c r="G20" s="9" t="s">
        <v>85</v>
      </c>
      <c r="H20" s="11" t="s">
        <v>86</v>
      </c>
      <c r="I20" s="4"/>
    </row>
    <row r="21" spans="1:10" ht="15" customHeight="1" x14ac:dyDescent="0.25">
      <c r="A21" s="15" t="s">
        <v>87</v>
      </c>
      <c r="B21" s="11" t="s">
        <v>88</v>
      </c>
      <c r="C21" s="11" t="s">
        <v>89</v>
      </c>
      <c r="D21" s="12">
        <v>3</v>
      </c>
      <c r="E21" s="13">
        <v>235</v>
      </c>
      <c r="F21" s="9">
        <f t="shared" si="0"/>
        <v>705</v>
      </c>
      <c r="G21" s="9" t="s">
        <v>90</v>
      </c>
      <c r="H21" s="11" t="s">
        <v>91</v>
      </c>
      <c r="I21" s="4"/>
    </row>
    <row r="22" spans="1:10" ht="15" customHeight="1" x14ac:dyDescent="0.25">
      <c r="A22" s="15" t="s">
        <v>92</v>
      </c>
      <c r="B22" s="11" t="s">
        <v>93</v>
      </c>
      <c r="C22" s="11" t="s">
        <v>94</v>
      </c>
      <c r="D22" s="12">
        <v>3</v>
      </c>
      <c r="E22" s="13">
        <v>135.47</v>
      </c>
      <c r="F22" s="9">
        <f t="shared" si="0"/>
        <v>406.40999999999997</v>
      </c>
      <c r="G22" s="9" t="s">
        <v>95</v>
      </c>
      <c r="H22" s="11" t="s">
        <v>96</v>
      </c>
      <c r="I22" s="4"/>
    </row>
    <row r="23" spans="1:10" ht="15" customHeight="1" x14ac:dyDescent="0.25">
      <c r="A23" s="15" t="s">
        <v>97</v>
      </c>
      <c r="B23" s="11" t="s">
        <v>98</v>
      </c>
      <c r="C23" s="15" t="s">
        <v>101</v>
      </c>
      <c r="D23" s="12">
        <v>1</v>
      </c>
      <c r="E23" s="13">
        <v>3048</v>
      </c>
      <c r="F23" s="9">
        <f t="shared" si="0"/>
        <v>3048</v>
      </c>
      <c r="H23" s="16" t="s">
        <v>99</v>
      </c>
      <c r="I23" s="16" t="s">
        <v>100</v>
      </c>
    </row>
    <row r="24" spans="1:10" ht="15" customHeight="1" x14ac:dyDescent="0.25">
      <c r="A24" s="2" t="s">
        <v>114</v>
      </c>
      <c r="B24" s="11" t="s">
        <v>159</v>
      </c>
      <c r="C24" s="2" t="s">
        <v>115</v>
      </c>
      <c r="D24" s="2">
        <v>1</v>
      </c>
      <c r="E24" s="5">
        <v>162.72</v>
      </c>
      <c r="F24" s="9">
        <f t="shared" si="0"/>
        <v>162.72</v>
      </c>
      <c r="G24" s="5"/>
      <c r="H24" s="3" t="s">
        <v>104</v>
      </c>
      <c r="I24" s="3" t="s">
        <v>116</v>
      </c>
    </row>
    <row r="25" spans="1:10" ht="15" customHeight="1" x14ac:dyDescent="0.25">
      <c r="A25" s="15" t="s">
        <v>102</v>
      </c>
      <c r="B25" s="11" t="s">
        <v>159</v>
      </c>
      <c r="C25" s="11" t="s">
        <v>103</v>
      </c>
      <c r="D25" s="11">
        <v>1</v>
      </c>
      <c r="E25" s="12">
        <v>162.72</v>
      </c>
      <c r="F25" s="9">
        <f t="shared" si="0"/>
        <v>162.72</v>
      </c>
      <c r="H25" s="11" t="s">
        <v>104</v>
      </c>
      <c r="I25" s="16" t="s">
        <v>105</v>
      </c>
      <c r="J25" s="11"/>
    </row>
    <row r="26" spans="1:10" ht="15" customHeight="1" x14ac:dyDescent="0.25">
      <c r="A26" s="2" t="s">
        <v>106</v>
      </c>
      <c r="B26" s="2" t="s">
        <v>107</v>
      </c>
      <c r="C26" s="2"/>
      <c r="D26" s="2">
        <v>1</v>
      </c>
      <c r="E26" s="5">
        <v>22.56</v>
      </c>
      <c r="F26" s="9">
        <f t="shared" si="0"/>
        <v>22.56</v>
      </c>
      <c r="H26" s="3" t="s">
        <v>108</v>
      </c>
      <c r="I26" s="16"/>
      <c r="J26" s="11"/>
    </row>
    <row r="27" spans="1:10" ht="15" customHeight="1" x14ac:dyDescent="0.25">
      <c r="A27" t="s">
        <v>109</v>
      </c>
      <c r="B27" t="s">
        <v>110</v>
      </c>
      <c r="C27" t="s">
        <v>111</v>
      </c>
      <c r="D27">
        <v>1</v>
      </c>
      <c r="E27" s="17">
        <v>88.78</v>
      </c>
      <c r="F27" s="9">
        <f t="shared" si="0"/>
        <v>88.78</v>
      </c>
      <c r="G27" t="s">
        <v>112</v>
      </c>
      <c r="H27" t="s">
        <v>113</v>
      </c>
    </row>
    <row r="28" spans="1:10" x14ac:dyDescent="0.25">
      <c r="A28" t="s">
        <v>117</v>
      </c>
      <c r="B28" t="s">
        <v>118</v>
      </c>
      <c r="C28" t="s">
        <v>119</v>
      </c>
      <c r="D28">
        <v>1</v>
      </c>
      <c r="E28" s="17">
        <v>357.1</v>
      </c>
      <c r="F28" s="9">
        <f t="shared" si="0"/>
        <v>357.1</v>
      </c>
      <c r="G28" t="s">
        <v>120</v>
      </c>
      <c r="H28" t="s">
        <v>121</v>
      </c>
    </row>
    <row r="29" spans="1:10" x14ac:dyDescent="0.25">
      <c r="A29" t="s">
        <v>122</v>
      </c>
      <c r="B29" t="s">
        <v>123</v>
      </c>
      <c r="C29" t="s">
        <v>124</v>
      </c>
      <c r="D29">
        <v>3</v>
      </c>
      <c r="E29" s="17">
        <v>106.72</v>
      </c>
      <c r="F29" s="9">
        <f t="shared" si="0"/>
        <v>320.15999999999997</v>
      </c>
      <c r="G29" t="s">
        <v>125</v>
      </c>
      <c r="H29" t="s">
        <v>126</v>
      </c>
    </row>
    <row r="30" spans="1:10" x14ac:dyDescent="0.25">
      <c r="A30" t="s">
        <v>127</v>
      </c>
      <c r="B30" t="s">
        <v>128</v>
      </c>
      <c r="C30" t="s">
        <v>129</v>
      </c>
      <c r="D30">
        <v>1</v>
      </c>
      <c r="E30" s="17">
        <v>137.65</v>
      </c>
      <c r="F30" s="9">
        <f t="shared" si="0"/>
        <v>137.65</v>
      </c>
      <c r="G30" t="s">
        <v>130</v>
      </c>
      <c r="H30" t="s">
        <v>131</v>
      </c>
    </row>
    <row r="31" spans="1:10" x14ac:dyDescent="0.25">
      <c r="A31" t="s">
        <v>132</v>
      </c>
      <c r="B31" t="s">
        <v>133</v>
      </c>
      <c r="C31" t="s">
        <v>134</v>
      </c>
      <c r="D31">
        <v>1</v>
      </c>
      <c r="E31" s="17">
        <v>56.85</v>
      </c>
      <c r="F31" s="9">
        <f t="shared" si="0"/>
        <v>56.85</v>
      </c>
      <c r="G31" t="s">
        <v>135</v>
      </c>
      <c r="H31" t="s">
        <v>136</v>
      </c>
    </row>
    <row r="32" spans="1:10" x14ac:dyDescent="0.25">
      <c r="A32" t="s">
        <v>137</v>
      </c>
      <c r="B32" t="s">
        <v>138</v>
      </c>
      <c r="C32" t="s">
        <v>139</v>
      </c>
      <c r="D32">
        <v>1</v>
      </c>
      <c r="E32" s="17">
        <v>281.25</v>
      </c>
      <c r="F32" s="9">
        <f t="shared" si="0"/>
        <v>281.25</v>
      </c>
      <c r="G32" t="s">
        <v>140</v>
      </c>
      <c r="H32" t="s">
        <v>141</v>
      </c>
    </row>
    <row r="33" spans="1:9" x14ac:dyDescent="0.25">
      <c r="A33" t="s">
        <v>154</v>
      </c>
      <c r="B33" t="s">
        <v>158</v>
      </c>
      <c r="C33" t="s">
        <v>155</v>
      </c>
      <c r="D33">
        <v>3</v>
      </c>
      <c r="E33" s="17">
        <v>1.71</v>
      </c>
      <c r="F33" s="9">
        <f t="shared" si="0"/>
        <v>5.13</v>
      </c>
      <c r="H33" s="17" t="s">
        <v>156</v>
      </c>
      <c r="I33" t="s">
        <v>157</v>
      </c>
    </row>
    <row r="34" spans="1:9" x14ac:dyDescent="0.25">
      <c r="A34" t="s">
        <v>142</v>
      </c>
      <c r="B34" t="s">
        <v>143</v>
      </c>
      <c r="C34" t="s">
        <v>144</v>
      </c>
      <c r="D34">
        <v>1</v>
      </c>
      <c r="E34" s="8">
        <v>765</v>
      </c>
      <c r="F34" s="9">
        <f t="shared" si="0"/>
        <v>765</v>
      </c>
      <c r="G34" s="8" t="s">
        <v>145</v>
      </c>
      <c r="H34" t="s">
        <v>146</v>
      </c>
      <c r="I34" s="1" t="s">
        <v>152</v>
      </c>
    </row>
    <row r="35" spans="1:9" x14ac:dyDescent="0.25">
      <c r="A35" t="s">
        <v>147</v>
      </c>
      <c r="B35" t="s">
        <v>148</v>
      </c>
      <c r="C35" t="s">
        <v>149</v>
      </c>
      <c r="D35">
        <v>1</v>
      </c>
      <c r="E35" s="8">
        <v>1027.1199999999999</v>
      </c>
      <c r="F35" s="9">
        <f t="shared" si="0"/>
        <v>1027.1199999999999</v>
      </c>
      <c r="G35" s="8" t="s">
        <v>150</v>
      </c>
      <c r="H35" t="s">
        <v>151</v>
      </c>
      <c r="I35" s="1" t="s">
        <v>153</v>
      </c>
    </row>
    <row r="36" spans="1:9" x14ac:dyDescent="0.25">
      <c r="A36" t="s">
        <v>160</v>
      </c>
      <c r="B36" t="s">
        <v>161</v>
      </c>
      <c r="C36" t="s">
        <v>162</v>
      </c>
      <c r="D36">
        <v>1</v>
      </c>
      <c r="E36" s="17">
        <v>7877</v>
      </c>
      <c r="G36" t="s">
        <v>163</v>
      </c>
      <c r="H36" t="s">
        <v>164</v>
      </c>
    </row>
    <row r="37" spans="1:9" x14ac:dyDescent="0.25">
      <c r="A37" t="s">
        <v>165</v>
      </c>
      <c r="B37" t="s">
        <v>166</v>
      </c>
      <c r="C37" t="s">
        <v>169</v>
      </c>
      <c r="D37">
        <v>1</v>
      </c>
      <c r="E37" s="17">
        <v>31.99</v>
      </c>
      <c r="F37" s="17">
        <v>31.99</v>
      </c>
      <c r="G37" t="s">
        <v>167</v>
      </c>
      <c r="H37" t="s">
        <v>168</v>
      </c>
    </row>
    <row r="51" spans="5:6" x14ac:dyDescent="0.25">
      <c r="E51" s="7" t="s">
        <v>7</v>
      </c>
      <c r="F51" s="5">
        <f>SUM(F2:F50)</f>
        <v>8762.8200000000015</v>
      </c>
    </row>
    <row r="52" spans="5:6" x14ac:dyDescent="0.25">
      <c r="E52" s="17"/>
    </row>
    <row r="53" spans="5:6" x14ac:dyDescent="0.25">
      <c r="E53" s="17"/>
    </row>
    <row r="54" spans="5:6" x14ac:dyDescent="0.25">
      <c r="E54" s="17"/>
    </row>
  </sheetData>
  <phoneticPr fontId="3" type="noConversion"/>
  <hyperlinks>
    <hyperlink ref="H5" r:id="rId1" xr:uid="{69C23E45-29AA-47FB-BE9B-2AE614B77C83}"/>
    <hyperlink ref="H2" r:id="rId2" xr:uid="{F39CA3E8-0E7F-4D14-B47D-FB9B637BEFBF}"/>
    <hyperlink ref="H3" r:id="rId3" xr:uid="{10C95AC9-075E-42F1-9F35-5641E1334E99}"/>
    <hyperlink ref="H4" r:id="rId4" xr:uid="{75AF6812-83F6-4049-924E-6E150C43BB6C}"/>
    <hyperlink ref="H6" r:id="rId5" xr:uid="{B34F6116-3904-4136-83DC-1ED778E50D3C}"/>
    <hyperlink ref="H7" r:id="rId6" xr:uid="{CB356497-2003-425A-B8A7-BE51B9B913EE}"/>
    <hyperlink ref="H8" r:id="rId7" xr:uid="{21C1BAB4-A1A3-4E88-8334-DF28738598D1}"/>
    <hyperlink ref="I3" r:id="rId8" xr:uid="{2F4C748B-C31C-4C18-98A1-F896819BEDE6}"/>
    <hyperlink ref="I4" r:id="rId9" xr:uid="{6767DCFE-C4EA-4F98-917F-25EE5BC81B62}"/>
    <hyperlink ref="H9" r:id="rId10" xr:uid="{7788AAC0-3264-469D-9FE8-88ABE62A1188}"/>
    <hyperlink ref="H13" r:id="rId11" xr:uid="{22EA5B08-E3BF-44B7-9BC4-A52144A8B4E8}"/>
    <hyperlink ref="H11" r:id="rId12" xr:uid="{F2E7CC8F-238C-4247-B8F0-EE48259CB0DF}"/>
    <hyperlink ref="H14" r:id="rId13" xr:uid="{F29AC6CF-4907-45B0-BC34-91C3207BD632}"/>
    <hyperlink ref="H15" r:id="rId14" xr:uid="{3FD93DE0-ECDF-4FB7-A578-6AF0D2D996ED}"/>
    <hyperlink ref="H16" r:id="rId15" xr:uid="{3F6317A3-86C7-4440-A334-39A180A39711}"/>
    <hyperlink ref="H17" r:id="rId16" xr:uid="{39DE19D3-FCF4-467B-8F2D-A73B81512E9F}"/>
    <hyperlink ref="H18" r:id="rId17" xr:uid="{7FC4A310-EBC9-4D11-9C0E-8C50EE8E0B48}"/>
    <hyperlink ref="H19" r:id="rId18" xr:uid="{E217CB8D-6697-480F-AB05-6E861D45E616}"/>
    <hyperlink ref="H23" r:id="rId19" xr:uid="{F5763F8F-45B6-4F94-A467-1390B137089B}"/>
    <hyperlink ref="H26" r:id="rId20" xr:uid="{13E53C69-7D44-4E9D-91C7-B43E62EF0211}"/>
    <hyperlink ref="I24" r:id="rId21" xr:uid="{A474115A-216C-45C9-8151-150153D205B7}"/>
    <hyperlink ref="H24" r:id="rId22" xr:uid="{DE0714B2-69C6-48B2-8CDD-985269F450C7}"/>
    <hyperlink ref="I34" r:id="rId23" xr:uid="{8049C48E-C4B0-495E-9124-9CCD92510653}"/>
    <hyperlink ref="I35" r:id="rId24" xr:uid="{20B5B22B-708C-4B8C-AA8D-54CE2BC9E7C0}"/>
    <hyperlink ref="I25" r:id="rId25" xr:uid="{CA934B0B-0450-4ADA-AF73-0EF6C2AA1AC8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2026-09-12T18:12:53Z</dcterms:modified>
</cp:coreProperties>
</file>