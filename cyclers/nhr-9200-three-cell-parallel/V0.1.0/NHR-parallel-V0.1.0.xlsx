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cyclers\nhr-9200-three-cell-parallel\V0.1.0\"/>
    </mc:Choice>
  </mc:AlternateContent>
  <xr:revisionPtr revIDLastSave="0" documentId="13_ncr:1_{A74688D9-7FB5-48D6-BD86-D34AB26882FD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1" l="1"/>
  <c r="G11" i="1"/>
  <c r="G10" i="1"/>
  <c r="G16" i="1"/>
  <c r="G17" i="1"/>
  <c r="G4" i="1"/>
  <c r="G3" i="1"/>
  <c r="G5" i="1"/>
  <c r="G15" i="1"/>
  <c r="G14" i="1"/>
  <c r="G13" i="1"/>
  <c r="G12" i="1"/>
  <c r="G9" i="1"/>
  <c r="G8" i="1"/>
  <c r="G7" i="1"/>
  <c r="G6" i="1"/>
  <c r="G2" i="1" l="1"/>
</calcChain>
</file>

<file path=xl/sharedStrings.xml><?xml version="1.0" encoding="utf-8"?>
<sst xmlns="http://schemas.openxmlformats.org/spreadsheetml/2006/main" count="297" uniqueCount="219">
  <si>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</si>
  <si>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</si>
  <si>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</si>
  <si>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</si>
  <si>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</si>
  <si>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</si>
  <si>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</si>
  <si>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</si>
  <si>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</si>
  <si>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</si>
  <si>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</si>
  <si>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</si>
  <si>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</si>
  <si>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</si>
  <si>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</si>
  <si>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A320H (Connector handle)</t>
  </si>
  <si>
    <t>TERM BLADE FEMALE 1/0AWG SILVER</t>
  </si>
  <si>
    <t>320-1150</t>
  </si>
  <si>
    <t>CONN RCPT HSG 2POS</t>
  </si>
  <si>
    <t>8 AWG main contact</t>
  </si>
  <si>
    <t>TERM BLADE NON-GEND 8AWG SILVER</t>
  </si>
  <si>
    <t>1339G5-BK</t>
  </si>
  <si>
    <t>https://www.digikey.com/en/products/detail/anderson-power-products-inc/1339G5-BK/10650046</t>
  </si>
  <si>
    <t>Stranded Hookup Wire - Black</t>
  </si>
  <si>
    <t>Stranded Hookup Wire (300 Volt)</t>
  </si>
  <si>
    <t>Wire-ST-16-00-100</t>
  </si>
  <si>
    <t>https://powerwerx.com/stranded-hookup-wire-300volt-ul1007</t>
  </si>
  <si>
    <t>https://www.digikey.com/en/products/detail/remington-industries/16UL1007STRBLA/11613043</t>
  </si>
  <si>
    <t>Stranded Hookup Wire - Red</t>
  </si>
  <si>
    <t>Wire-ST-16-02-100</t>
  </si>
  <si>
    <t>https://www.digikey.com/en/products/detail/remington-industries/16UL1007STRRED/11613259</t>
  </si>
  <si>
    <t>8 AWG Red/black Wire</t>
  </si>
  <si>
    <t>Red/Black Bonded Zip Cord Easy ID Low Voltage Cable</t>
  </si>
  <si>
    <t>Wire-RB-08-50</t>
  </si>
  <si>
    <t>https://powerwerx.com/red-black-bonded-zip-cord</t>
  </si>
  <si>
    <t>Mesh Sleeving</t>
  </si>
  <si>
    <t>SLEEVING 0.5" ID POLY 100' BLACK</t>
  </si>
  <si>
    <t>NMN0.50BK100</t>
  </si>
  <si>
    <t>https://www.digikey.com/en/products/detail/techflex/NMN0-50BK100/2524519</t>
  </si>
  <si>
    <t>8 AWG Ring Terminal</t>
  </si>
  <si>
    <t>CONN RING CIRC 8AWG #8 CRIMP</t>
  </si>
  <si>
    <t>https://www.digikey.com/en/products/detail/molex/0191930200/3044482</t>
  </si>
  <si>
    <t>16 AWG Ring Terminal</t>
  </si>
  <si>
    <t>CONN RING CIRC 14-16AWG #8 CRIMP</t>
  </si>
  <si>
    <t>https://www.digikey.com/en/products/detail/molex/0191930089/3187614</t>
  </si>
  <si>
    <t>Adhesive Lined heat shrink</t>
  </si>
  <si>
    <t>HEATSHRINK 0.752" X 4' BLK 1=1PC</t>
  </si>
  <si>
    <t>Q5-2X-3/4-01-QB48IN-5</t>
  </si>
  <si>
    <t>https://www.digikey.com/en/products/detail/qualtek/Q5-2X-3-4-01-QB48IN-5/754962</t>
  </si>
  <si>
    <t>LOWER AUX. SOCKET CNT. 14/18 AWG</t>
  </si>
  <si>
    <t>320-23</t>
  </si>
  <si>
    <t>https://www.digikey.com/en/products/detail/anderson-power-products-inc/320-23/14551433</t>
  </si>
  <si>
    <t>E320-89</t>
  </si>
  <si>
    <t>320 DIN HANDLE KIT</t>
  </si>
  <si>
    <t>https://www.digikey.com/en/products/detail/anderson-power-products-inc/E320-89/14550348</t>
  </si>
  <si>
    <t>https://www.digikey.com/en/products/detail/anderson-power-products-inc/320-25/10650279</t>
  </si>
  <si>
    <t>320-25</t>
  </si>
  <si>
    <t>TERM BLADE FEMALE 14-18AWG SILV</t>
  </si>
  <si>
    <t>Main Female Housing</t>
  </si>
  <si>
    <t>A32500-0009</t>
  </si>
  <si>
    <t>https://www.digikey.com/en/products/detail/anderson-power-products-inc/A32500-0009/14833308?s=N4IgTCBcDaIIIGYwFYAMqC07UE4QF0BfIA</t>
  </si>
  <si>
    <t>Large Power Contacts</t>
  </si>
  <si>
    <t>Larger Auxiliary Contact</t>
  </si>
  <si>
    <t>Smaller Auxiliary Contact</t>
  </si>
  <si>
    <t>https://www.grainger.com/product/QUICKCABLE-Heat-Shrink-Tubing-0-75-in-64TX48</t>
  </si>
  <si>
    <t>Primary or Alternative Part</t>
  </si>
  <si>
    <t>Primary</t>
  </si>
  <si>
    <t>Alternative</t>
  </si>
  <si>
    <t>QUICKCABLE Heat Shrink Tubing: 0.75 in I.D. Before Shrinking, 0.25 in I.D. After Shrinking, 5 PK</t>
  </si>
  <si>
    <t>5662-005B</t>
  </si>
  <si>
    <t>Precut to 6" which can be nice</t>
  </si>
  <si>
    <t>8 AWG Red Wire</t>
  </si>
  <si>
    <t>8 AWG Black Wire</t>
  </si>
  <si>
    <t>https://www.digikey.com/en/products/detail/cnc-tech/3132-8-1-0100-004-1-TS/25587759</t>
  </si>
  <si>
    <t>https://www.digikey.com/en/products/detail/cnc-tech/3132-8-1-0100-001-1-TS/25587757</t>
  </si>
  <si>
    <t>3132-8-1-0100-001-1-TS</t>
  </si>
  <si>
    <t>3132-8-1-0100-004-1-TS</t>
  </si>
  <si>
    <t>UL3132, SILICONE WIRE, 8AWG, RED</t>
  </si>
  <si>
    <t>SBS 75 connector</t>
  </si>
  <si>
    <t>SBS 75 auxiliary pin</t>
  </si>
  <si>
    <t>SBS 75 auxiliary socket</t>
  </si>
  <si>
    <t>3/4 in Heat Shrink Tubing</t>
  </si>
  <si>
    <t xml:space="preserve">SB50/120 T Handle </t>
  </si>
  <si>
    <t>SBS75 Handle Screws</t>
  </si>
  <si>
    <t>T Handle Hex Nut</t>
  </si>
  <si>
    <t>DIN Rail Mounting Track</t>
  </si>
  <si>
    <t>6-Pole Barrier Terminal Strip</t>
  </si>
  <si>
    <t>2-Pole Barrier Terminal Strip</t>
  </si>
  <si>
    <t>Terminal Block Jumper</t>
  </si>
  <si>
    <t>Pine Project Board</t>
  </si>
  <si>
    <t>#8 × 1 in Wood Screw</t>
  </si>
  <si>
    <t>4-Channel FluxGate Current Sensor</t>
  </si>
  <si>
    <t>1-Channel FluxGate Current Sensor</t>
  </si>
  <si>
    <t>10 A DC Current Transducer</t>
  </si>
  <si>
    <t>strain DAQ</t>
  </si>
  <si>
    <t>strain gauge (9 ft lead)</t>
  </si>
  <si>
    <t>strain gauge (3 ft lead)</t>
  </si>
  <si>
    <t>Strain Gauge Coating</t>
  </si>
  <si>
    <t>Strain Gauge Adhesive</t>
  </si>
  <si>
    <t>42U Mobile Equipment Rack</t>
  </si>
  <si>
    <t>Adjustable Rack Shelf</t>
  </si>
  <si>
    <t>4U Rack Storage Drawer</t>
  </si>
  <si>
    <t>Rack Monitor Mount</t>
  </si>
  <si>
    <t>NI Rack Mount Kit</t>
  </si>
  <si>
    <t>K-Type Thermocouple</t>
  </si>
  <si>
    <t>Thermocouple Input Module</t>
  </si>
  <si>
    <t>Voltage Input Module</t>
  </si>
  <si>
    <t>CompactRIO Controller</t>
  </si>
  <si>
    <t>Mini DisplayPort to HDMI Cable</t>
  </si>
  <si>
    <t>CONN HSG 6POS BLACK</t>
  </si>
  <si>
    <t>SBS75XBLK-BK</t>
  </si>
  <si>
    <t>https://www.digikey.com/en/products/detail/anderson-power-products-inc/SBS75XBLK-BK/10650428</t>
  </si>
  <si>
    <t>CONTACT PIN 16-20AWG STD 7.7MM</t>
  </si>
  <si>
    <t>PM16P1620S30</t>
  </si>
  <si>
    <t>https://www.digikey.com/en/products/detail/anderson-power-products-inc/PM16P1620S30/10650436</t>
  </si>
  <si>
    <t>CONTACT SOCKET 16-20AWG</t>
  </si>
  <si>
    <t>PM16S1620S32</t>
  </si>
  <si>
    <t>https://www.digikey.com/en/products/detail/anderson-power-products-inc/PM16S1620S32/10650063</t>
  </si>
  <si>
    <t>SHRINK-KON Heat Shrink Tubing: 0.75 in I.D. Before Shrinking, 0.38 in I.D. After Shrinking, 10 PK</t>
  </si>
  <si>
    <t>CPO75006</t>
  </si>
  <si>
    <t>2:1 shrink, black, 10-pack</t>
  </si>
  <si>
    <t>https://www.grainger.com/product/SHRINK-KON-Heat-Shrink-Tubing-0-75-in-3KH60</t>
  </si>
  <si>
    <t>Connector T Handle For SBS® 50, SBS® 75X Series</t>
  </si>
  <si>
    <t>113899P1</t>
  </si>
  <si>
    <t>https://www.digikey.com/en/products/detail/anderson-power-products-inc/113899P1/10647423?s=N4IgTCBcDaIIxwMwA4CcqAKcQF0C%2BQA</t>
  </si>
  <si>
    <t>Standard Socket Head Cap Screw: M3x0.50, 20 mm Lg, Low-Profile Std, Black Oxide, Alloy Steel, 50 PK</t>
  </si>
  <si>
    <t>LHS4803020-050P1</t>
  </si>
  <si>
    <t>https://www.grainger.com/product/Standard-Socket-Head-Cap-Screw-6EA45</t>
  </si>
  <si>
    <t>Hex Nut: Std Hex, M3x0.50 Thread, 5.5 mm Hex Wd, 2.4 mm Hex Ht, Steel, Class 8, Zinc-Plated, 100 PK</t>
  </si>
  <si>
    <t>M01300.030.0001</t>
  </si>
  <si>
    <t>https://www.grainger.com/product/Hex-Nut-Std-Hex-26KR85?searchQuery=M01300.030.0001&amp;searchBar=true&amp;tier=Tier+6&amp;suggestConfigId=6&amp;s_e=false</t>
  </si>
  <si>
    <t>APPROVED VENDOR Mounting Track: DIN Rail Mounting, Aluminum, 35 mm Wd, 1 m Lg</t>
  </si>
  <si>
    <t>18Z758</t>
  </si>
  <si>
    <t xml:space="preserve">https://www.grainger.com/product/Mounting-Track-DIN-Rail-Mounting-18Z758 </t>
  </si>
  <si>
    <t>APPROVED VENDOR Barrier Terminal Strip: 6 Poles, 22 AWG – 10 AWG For Wire Sizes, 30 A Max Current</t>
  </si>
  <si>
    <t>6YH65</t>
  </si>
  <si>
    <t xml:space="preserve">https://www.grainger.com/product/Barrier-Terminal-Strip-6-Poles-6YH65 </t>
  </si>
  <si>
    <t>APPROVED VENDOR Barrier Terminal Strip: 2 Poles, 22 AWG – 10 AWG For Wire Sizes, 30 A Max Current</t>
  </si>
  <si>
    <t>6YH63</t>
  </si>
  <si>
    <t xml:space="preserve">https://www.grainger.com/product/Terminal-Strip-10-AWG-For-6YH63 </t>
  </si>
  <si>
    <t>APPROVED VENDOR Jumper: Gray, Terminal Block</t>
  </si>
  <si>
    <t>6YH71</t>
  </si>
  <si>
    <t xml:space="preserve">https://www.grainger.com/product/Jumper-Gray-6YH71 </t>
  </si>
  <si>
    <t>RELIABILT 3/4-in x 12-in x 6-ft Unfinished S4S Pine Edge-glued Project Softwood Board</t>
  </si>
  <si>
    <t>L5PAN172112P6</t>
  </si>
  <si>
    <t xml:space="preserve">https://www.lowes.com/pd/ReliaBilt-21-32-in-x-12-in-x-6-ft-Square-Unfinished-Spruce-Pine-Fir-Board/5002124771 </t>
  </si>
  <si>
    <t>Wood Screw: #8 Size, 1 in Lg, Stainless Steel, Round, Phillips, 100 PK</t>
  </si>
  <si>
    <t>U51866.016.0100</t>
  </si>
  <si>
    <t xml:space="preserve">https://www.grainger.com/product/Wood-Screw-8-Size-31JG35 </t>
  </si>
  <si>
    <t>IsoBlock I-FG-4c Low Cost Inline Current Transducer Module (FluxGate)</t>
  </si>
  <si>
    <t>IsoBlock I-FG-4c</t>
  </si>
  <si>
    <t>Only one needed; evaluating</t>
  </si>
  <si>
    <t>https://www.verivolt.com/shop/isoblock-i-fg-4c-309</t>
  </si>
  <si>
    <t>IsoBlock I-FG-1c Inline Current Sensor (FluxGate)</t>
  </si>
  <si>
    <t>IsoBlock I-FG-1c</t>
  </si>
  <si>
    <t>Alternative; three units needed</t>
  </si>
  <si>
    <t>https://www.verivolt.com/shop/isoblock-i-fg-1c-311</t>
  </si>
  <si>
    <t>CURRENT SENSOR MAGNETIC/CL 10A</t>
  </si>
  <si>
    <t>CR5210-10</t>
  </si>
  <si>
    <t>Lower-cost option; evaluating performance</t>
  </si>
  <si>
    <t>https://www.digikey.com/en/products/detail/cr-magnetics-inc/CR5210-10/1833164</t>
  </si>
  <si>
    <t>NI-9236</t>
  </si>
  <si>
    <t>785996-01</t>
  </si>
  <si>
    <t>https://www.ni.com/en-us/shop/model/ni-9236.html?srsltid=AfmBOorMY5vEvxvX3ChJ7onLrgeEJ12iARSG8zOQW9Ncc0Uy1GemXkRh</t>
  </si>
  <si>
    <t>https://www.digikey.com/en/products/detail/ni/785996-01/15219166</t>
  </si>
  <si>
    <t>Linear Strain Gauge ±3% 0.235" (5.97mm) 0.100" (2.54mm)</t>
  </si>
  <si>
    <t>C4A-06-235SLA-350-39P</t>
  </si>
  <si>
    <t>https://shop.micro-measurements.com/my_cart_item_list.php?v_cat_code=STRESS_ANALYSIS_STRAIN_GAGE</t>
  </si>
  <si>
    <t>https://www.digikey.com/en/products/detail/micro-measurements-division-of-vishay-precision-group/MMF404146/9857834</t>
  </si>
  <si>
    <t>C4A-06-235SLA-350-33P</t>
  </si>
  <si>
    <t>https://www.digikey.com/en/products/detail/micro-measurements-division-of-vishay-precision-group/C4A-06-235SLA-350-33P/16580673</t>
  </si>
  <si>
    <t>CONFORMAL COATING UL 94V-0</t>
  </si>
  <si>
    <t>https://www.digikey.com/en/products/detail/mg-chemicals/419D-55ML/9657990</t>
  </si>
  <si>
    <t>MULTI PACK (5 2GRAMS)</t>
  </si>
  <si>
    <t>MMF326346</t>
  </si>
  <si>
    <t>M-Bond 200 strain gauge glue</t>
  </si>
  <si>
    <t>https://www.digikey.com/en/products/detail/micro-measurements-division-of-vishay-precision-group/MMF326346/5891958</t>
  </si>
  <si>
    <t>StarTech 4-Post 42U Mobile Open Frame Server Rack, 19in Rolling Network Rack</t>
  </si>
  <si>
    <t>4POSTRACK42</t>
  </si>
  <si>
    <t>Main equipment rack</t>
  </si>
  <si>
    <t>https://www.cdwg.com/product/startech-4-post-42u-mobile-open-frame-server-rack-19in-rolling-network-rac/3252185</t>
  </si>
  <si>
    <t>StarTech 1U 19.5 to 38in Adjustable Mounting Depth Vented Rack Mount Shelf</t>
  </si>
  <si>
    <t>ADJSHELF</t>
  </si>
  <si>
    <t>Three shelves needed</t>
  </si>
  <si>
    <t>https://www.cdwg.com/product/startech-1u-19.5-to-38in-adjustable-mounting-depth-vented-rack-mount-shelf/1409337</t>
  </si>
  <si>
    <t>Eaton Tripp Lite Series 4U Locking Rackmount Storage Drawer</t>
  </si>
  <si>
    <t>SRDRAWER4U</t>
  </si>
  <si>
    <t>Locking equipment storage</t>
  </si>
  <si>
    <t>https://www.cdwg.com/product/tripp-lite-4u-locking-rackmount-storage-drawer-rack-enclosures-open-frame/4940772</t>
  </si>
  <si>
    <t>StarTech 4U Universal VESA LCD Monitor Mounting Bracket for 19-inch Rack or Cabinet</t>
  </si>
  <si>
    <t>RKLCDBK</t>
  </si>
  <si>
    <t>Rack-mounted monitor bracket</t>
  </si>
  <si>
    <t>https://www.cdwg.com/product/startech-4u-universal-vesa-lcd-monitor-mounting-bracket-for-19-inch-rack-or/1792048</t>
  </si>
  <si>
    <t>INDUSTRIAL RACK MOUNT KIT FOR CO</t>
  </si>
  <si>
    <t>786411-01</t>
  </si>
  <si>
    <t>CompactDAQ/CompactRIO rack mount</t>
  </si>
  <si>
    <t>https://www.digikey.com/en/products/detail/ni/786411-01/15219108</t>
  </si>
  <si>
    <t>SENSOR TEMP -50~700C CONNECTOR</t>
  </si>
  <si>
    <t>TC-K-TYPE</t>
  </si>
  <si>
    <t>https://www.digikey.com/en/products/detail/olimex-ltd/TC-K-TYPE/21662067</t>
  </si>
  <si>
    <t>https://www.grainger.com/product/TEST-PRODUCTS-INTL-Immersion-Temperature-Probe-3LRX6</t>
  </si>
  <si>
    <t>NI-9210, 4-Channel, 14 S/s Aggregate, ±80 mV C Series Temperature Input Module</t>
  </si>
  <si>
    <t>784788-01</t>
  </si>
  <si>
    <t>4-channel thermocouple module</t>
  </si>
  <si>
    <t>https://www.ni.com/en/shop/hardware/temperature/model-ni-9210</t>
  </si>
  <si>
    <t>https://www.digikey.com/en/products/detail/ni/784788-01/15219142</t>
  </si>
  <si>
    <t>NI-9201, ±10 V, 500 kS/s, 12-Bit, 8-Channel C Series Voltage Input Module</t>
  </si>
  <si>
    <t>779013-01</t>
  </si>
  <si>
    <t>8-channel analog voltage input</t>
  </si>
  <si>
    <t>https://www.ni.com/en/shop/model/ni-9201.html</t>
  </si>
  <si>
    <t>https://www.digikey.com/en/products/detail/ni/779013-01/15219194</t>
  </si>
  <si>
    <t>cRIO-9035, 1.33 GHz Dual-Core CPU, 1 GB DRAM, 4 GB Storage, Kintex-7 70T FPGA, 8-Slot CompactRIO Controller</t>
  </si>
  <si>
    <t>783848-01</t>
  </si>
  <si>
    <t>Main DAQ/controller chassis</t>
  </si>
  <si>
    <t>https://www.ni.com/en/shop/hardware/compactrio-controllers/model-crio-9035</t>
  </si>
  <si>
    <t>Eaton Tripp Lite Series Mini DisplayPort 1.4 to HDMI Active Adapter Cable</t>
  </si>
  <si>
    <t>P582-006-HD-V4A</t>
  </si>
  <si>
    <t>cRIO to rack monitor</t>
  </si>
  <si>
    <t>https://www.cdwg.com/product/eaton-tripp-lite-series-mini-displayport-1.4-to-hdmi-active-adapter-cable/6849656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</si>
</sst>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0" fontId="7" fillId="0" borderId="0" xfId="2" applyFont="1" applyAlignment="1">
      <alignment vertical="top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anderson-power-products-inc/E320-89/14550348" TargetMode="External"/><Relationship Id="rId18" Type="http://schemas.openxmlformats.org/officeDocument/2006/relationships/hyperlink" Target="https://www.digikey.com/en/products/detail/cnc-tech/3132-8-1-0100-001-1-TS/25587757" TargetMode="External"/><Relationship Id="rId26" Type="http://schemas.openxmlformats.org/officeDocument/2006/relationships/hyperlink" Target="https://www.digikey.com/en/products/detail/remington-industries/16UL1007STRBLA/11613043" TargetMode="External"/><Relationship Id="rId39" Type="http://schemas.openxmlformats.org/officeDocument/2006/relationships/hyperlink" Target="https://www.digikey.com/en/products/detail/micro-measurements-division-of-vishay-precision-group/MMF404146/9857834" TargetMode="External"/><Relationship Id="rId21" Type="http://schemas.openxmlformats.org/officeDocument/2006/relationships/hyperlink" Target="https://powerwerx.com/stranded-hookup-wire-300volt-ul1007" TargetMode="External"/><Relationship Id="rId34" Type="http://schemas.openxmlformats.org/officeDocument/2006/relationships/hyperlink" Target="https://www.grainger.com/product/Jumper-Gray-6YH71" TargetMode="External"/><Relationship Id="rId42" Type="http://schemas.openxmlformats.org/officeDocument/2006/relationships/hyperlink" Target="https://www.digikey.com/en/products/detail/ni/779013-01/15219194" TargetMode="External"/><Relationship Id="rId7" Type="http://schemas.openxmlformats.org/officeDocument/2006/relationships/hyperlink" Target="https://www.digikey.com/en/products/detail/remington-industries/16UL1007STRRED/11613259" TargetMode="External"/><Relationship Id="rId2" Type="http://schemas.openxmlformats.org/officeDocument/2006/relationships/hyperlink" Target="https://powerwerx.com/red-black-bonded-zip-cord" TargetMode="External"/><Relationship Id="rId16" Type="http://schemas.openxmlformats.org/officeDocument/2006/relationships/hyperlink" Target="https://www.grainger.com/product/QUICKCABLE-Heat-Shrink-Tubing-0-75-in-64TX48" TargetMode="External"/><Relationship Id="rId29" Type="http://schemas.openxmlformats.org/officeDocument/2006/relationships/hyperlink" Target="https://www.grainger.com/product/Hex-Nut-Std-Hex-26KR85?searchQuery=M01300.030.0001&amp;searchBar=true&amp;tier=Tier+6&amp;suggestConfigId=6&amp;s_e=false" TargetMode="External"/><Relationship Id="rId1" Type="http://schemas.openxmlformats.org/officeDocument/2006/relationships/hyperlink" Target="https://www.digikey.com/en/products/detail/anderson-power-products-inc/320-1150/10650211" TargetMode="External"/><Relationship Id="rId6" Type="http://schemas.openxmlformats.org/officeDocument/2006/relationships/hyperlink" Target="https://www.digikey.com/en/products/detail/remington-industries/16UL1007STRBLA/11613043" TargetMode="External"/><Relationship Id="rId11" Type="http://schemas.openxmlformats.org/officeDocument/2006/relationships/hyperlink" Target="https://www.digikey.com/en/products/detail/qualtek/Q5-2X-3-4-01-QB48IN-5/754962" TargetMode="External"/><Relationship Id="rId24" Type="http://schemas.openxmlformats.org/officeDocument/2006/relationships/hyperlink" Target="https://www.digikey.com/en/products/detail/anderson-power-products-inc/PM16P1620S30/10650436" TargetMode="External"/><Relationship Id="rId32" Type="http://schemas.openxmlformats.org/officeDocument/2006/relationships/hyperlink" Target="https://www.grainger.com/product/Barrier-Terminal-Strip-6-Poles-6YH65" TargetMode="External"/><Relationship Id="rId37" Type="http://schemas.openxmlformats.org/officeDocument/2006/relationships/hyperlink" Target="https://www.ni.com/en-us/shop/model/ni-9236.html?srsltid=AfmBOorMY5vEvxvX3ChJ7onLrgeEJ12iARSG8zOQW9Ncc0Uy1GemXkRh" TargetMode="External"/><Relationship Id="rId40" Type="http://schemas.openxmlformats.org/officeDocument/2006/relationships/hyperlink" Target="https://shop.micro-measurements.com/my_cart_item_list.php?v_cat_code=STRESS_ANALYSIS_STRAIN_GAGE" TargetMode="External"/><Relationship Id="rId45" Type="http://schemas.openxmlformats.org/officeDocument/2006/relationships/hyperlink" Target="https://www.verivolt.com/shop/isoblock-i-fg-4c-309" TargetMode="External"/><Relationship Id="rId5" Type="http://schemas.openxmlformats.org/officeDocument/2006/relationships/hyperlink" Target="https://powerwerx.com/stranded-hookup-wire-300volt-ul1007" TargetMode="External"/><Relationship Id="rId15" Type="http://schemas.openxmlformats.org/officeDocument/2006/relationships/hyperlink" Target="https://www.digikey.com/en/products/detail/anderson-power-products-inc/A32500-0009/14833308?s=N4IgTCBcDaIIIGYwFYAMqC07UE4QF0BfIA" TargetMode="External"/><Relationship Id="rId23" Type="http://schemas.openxmlformats.org/officeDocument/2006/relationships/hyperlink" Target="https://www.digikey.com/en/products/detail/anderson-power-products-inc/SBS75XBLK-BK/10650428" TargetMode="External"/><Relationship Id="rId28" Type="http://schemas.openxmlformats.org/officeDocument/2006/relationships/hyperlink" Target="https://www.digikey.com/en/products/detail/techflex/NMN0-50BK100/2524519" TargetMode="External"/><Relationship Id="rId36" Type="http://schemas.openxmlformats.org/officeDocument/2006/relationships/hyperlink" Target="https://www.grainger.com/product/Wood-Screw-8-Size-31JG35" TargetMode="External"/><Relationship Id="rId10" Type="http://schemas.openxmlformats.org/officeDocument/2006/relationships/hyperlink" Target="https://www.digikey.com/en/products/detail/molex/0191930089/3187614" TargetMode="External"/><Relationship Id="rId19" Type="http://schemas.openxmlformats.org/officeDocument/2006/relationships/hyperlink" Target="https://powerwerx.com/red-black-bonded-zip-cord" TargetMode="External"/><Relationship Id="rId31" Type="http://schemas.openxmlformats.org/officeDocument/2006/relationships/hyperlink" Target="https://www.grainger.com/product/Mounting-Track-DIN-Rail-Mounting-18Z758" TargetMode="External"/><Relationship Id="rId44" Type="http://schemas.openxmlformats.org/officeDocument/2006/relationships/hyperlink" Target="https://www.verivolt.com/shop/isoblock-i-fg-1c-311" TargetMode="External"/><Relationship Id="rId4" Type="http://schemas.openxmlformats.org/officeDocument/2006/relationships/hyperlink" Target="https://powerwerx.com/stranded-hookup-wire-300volt-ul1007" TargetMode="External"/><Relationship Id="rId9" Type="http://schemas.openxmlformats.org/officeDocument/2006/relationships/hyperlink" Target="https://www.digikey.com/en/products/detail/molex/0191930200/3044482" TargetMode="External"/><Relationship Id="rId14" Type="http://schemas.openxmlformats.org/officeDocument/2006/relationships/hyperlink" Target="https://www.digikey.com/en/products/detail/anderson-power-products-inc/320-25/10650279" TargetMode="External"/><Relationship Id="rId22" Type="http://schemas.openxmlformats.org/officeDocument/2006/relationships/hyperlink" Target="https://powerwerx.com/stranded-hookup-wire-300volt-ul1007" TargetMode="External"/><Relationship Id="rId27" Type="http://schemas.openxmlformats.org/officeDocument/2006/relationships/hyperlink" Target="https://www.digikey.com/en/products/detail/remington-industries/16UL1007STRRED/11613259" TargetMode="External"/><Relationship Id="rId30" Type="http://schemas.openxmlformats.org/officeDocument/2006/relationships/hyperlink" Target="https://www.digikey.com/en/products/detail/anderson-power-products-inc/113899P1/10647423?s=N4IgTCBcDaIIxwMwA4CcqAKcQF0C%2BQA" TargetMode="External"/><Relationship Id="rId35" Type="http://schemas.openxmlformats.org/officeDocument/2006/relationships/hyperlink" Target="https://www.lowes.com/pd/ReliaBilt-21-32-in-x-12-in-x-6-ft-Square-Unfinished-Spruce-Pine-Fir-Board/5002124771" TargetMode="External"/><Relationship Id="rId43" Type="http://schemas.openxmlformats.org/officeDocument/2006/relationships/hyperlink" Target="https://www.digikey.com/en/products/detail/micro-measurements-division-of-vishay-precision-group/C4A-06-235SLA-350-33P/16580673" TargetMode="External"/><Relationship Id="rId8" Type="http://schemas.openxmlformats.org/officeDocument/2006/relationships/hyperlink" Target="https://www.digikey.com/en/products/detail/techflex/NMN0-50BK100/2524519" TargetMode="External"/><Relationship Id="rId3" Type="http://schemas.openxmlformats.org/officeDocument/2006/relationships/hyperlink" Target="https://www.digikey.com/en/products/detail/anderson-power-products-inc/1339G5-BK/10650046" TargetMode="External"/><Relationship Id="rId12" Type="http://schemas.openxmlformats.org/officeDocument/2006/relationships/hyperlink" Target="https://www.digikey.com/en/products/detail/anderson-power-products-inc/320-23/14551433" TargetMode="External"/><Relationship Id="rId17" Type="http://schemas.openxmlformats.org/officeDocument/2006/relationships/hyperlink" Target="https://www.digikey.com/en/products/detail/cnc-tech/3132-8-1-0100-004-1-TS/25587759" TargetMode="External"/><Relationship Id="rId25" Type="http://schemas.openxmlformats.org/officeDocument/2006/relationships/hyperlink" Target="https://www.digikey.com/en/products/detail/anderson-power-products-inc/PM16S1620S32/10650063" TargetMode="External"/><Relationship Id="rId33" Type="http://schemas.openxmlformats.org/officeDocument/2006/relationships/hyperlink" Target="https://www.grainger.com/product/Terminal-Strip-10-AWG-For-6YH63" TargetMode="External"/><Relationship Id="rId38" Type="http://schemas.openxmlformats.org/officeDocument/2006/relationships/hyperlink" Target="https://www.digikey.com/en/products/detail/mg-chemicals/419D-55ML/9657990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digikey.com/en/products/detail/anderson-power-products-inc/1339G5-BK/10650046" TargetMode="External"/><Relationship Id="rId41" Type="http://schemas.openxmlformats.org/officeDocument/2006/relationships/hyperlink" Target="https://www.digikey.com/en/products/detail/ni/784788-01/15219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61"/>
  <sheetViews>
    <sheetView tabSelected="1" topLeftCell="B28" zoomScale="115" zoomScaleNormal="85" workbookViewId="0">
      <selection activeCell="I40" sqref="I40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65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 t="s">
        <v>61</v>
      </c>
      <c r="B2" s="17" t="s">
        <v>66</v>
      </c>
      <c r="C2" s="2" t="s">
        <v>16</v>
      </c>
      <c r="D2" s="4" t="s">
        <v>17</v>
      </c>
      <c r="E2" s="19">
        <v>2</v>
      </c>
      <c r="F2" s="9">
        <v>30.75</v>
      </c>
      <c r="G2" s="9">
        <f>E2*F2</f>
        <v>61.5</v>
      </c>
      <c r="H2" s="5"/>
      <c r="I2" s="1" t="s">
        <v>14</v>
      </c>
      <c r="K2" s="2"/>
    </row>
    <row r="3" spans="1:14" ht="15" customHeight="1" x14ac:dyDescent="0.25">
      <c r="A3" s="18" t="s">
        <v>15</v>
      </c>
      <c r="B3" s="17" t="s">
        <v>66</v>
      </c>
      <c r="C3" s="2" t="s">
        <v>53</v>
      </c>
      <c r="D3" s="4" t="s">
        <v>52</v>
      </c>
      <c r="E3" s="19">
        <v>1</v>
      </c>
      <c r="F3" s="9">
        <v>8.51</v>
      </c>
      <c r="G3" s="9">
        <f>E3*F3</f>
        <v>8.51</v>
      </c>
      <c r="H3" s="5"/>
      <c r="I3" s="1" t="s">
        <v>54</v>
      </c>
      <c r="J3" s="1"/>
    </row>
    <row r="4" spans="1:14" ht="15" customHeight="1" x14ac:dyDescent="0.25">
      <c r="A4" t="s">
        <v>63</v>
      </c>
      <c r="B4" s="17" t="s">
        <v>66</v>
      </c>
      <c r="C4" s="16" t="s">
        <v>57</v>
      </c>
      <c r="D4" s="4" t="s">
        <v>56</v>
      </c>
      <c r="E4" s="19">
        <v>2</v>
      </c>
      <c r="F4" s="9">
        <v>11.25</v>
      </c>
      <c r="G4" s="9">
        <f t="shared" ref="G4" si="0">E4*F4</f>
        <v>22.5</v>
      </c>
      <c r="H4" s="5"/>
      <c r="I4" s="21" t="s">
        <v>55</v>
      </c>
      <c r="J4" s="4"/>
      <c r="K4" s="3"/>
      <c r="L4" s="3"/>
    </row>
    <row r="5" spans="1:14" ht="15" customHeight="1" x14ac:dyDescent="0.25">
      <c r="A5" t="s">
        <v>62</v>
      </c>
      <c r="B5" s="17" t="s">
        <v>66</v>
      </c>
      <c r="C5" s="16" t="s">
        <v>49</v>
      </c>
      <c r="D5" s="4" t="s">
        <v>50</v>
      </c>
      <c r="E5" s="19">
        <v>2</v>
      </c>
      <c r="F5" s="9">
        <v>14</v>
      </c>
      <c r="G5" s="9">
        <f t="shared" ref="G5" si="1">E5*F5</f>
        <v>28</v>
      </c>
      <c r="H5" s="5"/>
      <c r="I5" s="1" t="s">
        <v>51</v>
      </c>
      <c r="J5" s="4"/>
      <c r="K5" s="3"/>
      <c r="L5" s="3"/>
    </row>
    <row r="6" spans="1:14" ht="15" customHeight="1" x14ac:dyDescent="0.25">
      <c r="A6" t="s">
        <v>19</v>
      </c>
      <c r="B6" s="17" t="s">
        <v>66</v>
      </c>
      <c r="C6" s="2" t="s">
        <v>20</v>
      </c>
      <c r="D6" s="20" t="s">
        <v>21</v>
      </c>
      <c r="E6" s="2">
        <v>2</v>
      </c>
      <c r="F6" s="9">
        <v>2.72</v>
      </c>
      <c r="G6" s="9">
        <f>F6*E6</f>
        <v>5.44</v>
      </c>
      <c r="H6" s="5"/>
      <c r="I6" s="1" t="s">
        <v>22</v>
      </c>
    </row>
    <row r="7" spans="1:14" ht="15" customHeight="1" x14ac:dyDescent="0.25">
      <c r="A7" s="10" t="s">
        <v>23</v>
      </c>
      <c r="B7" s="17" t="s">
        <v>66</v>
      </c>
      <c r="C7" s="2" t="s">
        <v>24</v>
      </c>
      <c r="D7" s="20" t="s">
        <v>25</v>
      </c>
      <c r="E7" s="2">
        <v>1</v>
      </c>
      <c r="F7" s="9">
        <v>12.54</v>
      </c>
      <c r="G7" s="9">
        <f t="shared" ref="G7:G11" si="2">F7*E7</f>
        <v>12.54</v>
      </c>
      <c r="H7" s="5"/>
      <c r="I7" s="1" t="s">
        <v>27</v>
      </c>
      <c r="J7" s="1" t="s">
        <v>26</v>
      </c>
    </row>
    <row r="8" spans="1:14" ht="15" customHeight="1" x14ac:dyDescent="0.25">
      <c r="A8" s="10" t="s">
        <v>28</v>
      </c>
      <c r="B8" s="17" t="s">
        <v>66</v>
      </c>
      <c r="C8" s="2" t="s">
        <v>24</v>
      </c>
      <c r="D8" s="20" t="s">
        <v>29</v>
      </c>
      <c r="E8" s="2">
        <v>1</v>
      </c>
      <c r="F8" s="9">
        <v>12.54</v>
      </c>
      <c r="G8" s="9">
        <f t="shared" si="2"/>
        <v>12.54</v>
      </c>
      <c r="H8" s="5"/>
      <c r="I8" s="1" t="s">
        <v>30</v>
      </c>
      <c r="J8" s="1" t="s">
        <v>26</v>
      </c>
    </row>
    <row r="9" spans="1:14" ht="15" customHeight="1" x14ac:dyDescent="0.25">
      <c r="A9" s="10" t="s">
        <v>31</v>
      </c>
      <c r="B9" s="10" t="s">
        <v>67</v>
      </c>
      <c r="C9" s="2" t="s">
        <v>32</v>
      </c>
      <c r="D9" s="20" t="s">
        <v>33</v>
      </c>
      <c r="E9" s="2">
        <v>1</v>
      </c>
      <c r="F9" s="9">
        <v>128.19</v>
      </c>
      <c r="G9" s="9">
        <f t="shared" si="2"/>
        <v>128.19</v>
      </c>
      <c r="H9" s="5"/>
      <c r="I9" s="1" t="s">
        <v>34</v>
      </c>
      <c r="J9" s="4"/>
    </row>
    <row r="10" spans="1:14" ht="15" customHeight="1" x14ac:dyDescent="0.25">
      <c r="A10" s="10" t="s">
        <v>71</v>
      </c>
      <c r="B10" s="17" t="s">
        <v>66</v>
      </c>
      <c r="C10" s="2" t="s">
        <v>77</v>
      </c>
      <c r="D10" s="20" t="s">
        <v>76</v>
      </c>
      <c r="E10" s="2">
        <v>5</v>
      </c>
      <c r="F10" s="9">
        <v>4.4800000000000004</v>
      </c>
      <c r="G10" s="9">
        <f t="shared" si="2"/>
        <v>22.400000000000002</v>
      </c>
      <c r="H10" s="5"/>
      <c r="I10" s="1" t="s">
        <v>73</v>
      </c>
      <c r="J10" s="4"/>
    </row>
    <row r="11" spans="1:14" ht="15" customHeight="1" x14ac:dyDescent="0.25">
      <c r="A11" s="10" t="s">
        <v>72</v>
      </c>
      <c r="B11" s="17" t="s">
        <v>66</v>
      </c>
      <c r="C11" s="4" t="s">
        <v>75</v>
      </c>
      <c r="D11" s="20" t="s">
        <v>75</v>
      </c>
      <c r="E11" s="2">
        <v>5</v>
      </c>
      <c r="F11" s="9">
        <v>4.4800000000000004</v>
      </c>
      <c r="G11" s="9">
        <f t="shared" si="2"/>
        <v>22.400000000000002</v>
      </c>
      <c r="H11" s="5"/>
      <c r="I11" s="1" t="s">
        <v>74</v>
      </c>
      <c r="J11" s="4"/>
    </row>
    <row r="12" spans="1:14" ht="15" customHeight="1" x14ac:dyDescent="0.25">
      <c r="A12" s="10" t="s">
        <v>35</v>
      </c>
      <c r="B12" s="17" t="s">
        <v>66</v>
      </c>
      <c r="C12" s="2" t="s">
        <v>36</v>
      </c>
      <c r="D12" s="16" t="s">
        <v>37</v>
      </c>
      <c r="E12" s="2">
        <v>1</v>
      </c>
      <c r="F12" s="9">
        <v>72.62</v>
      </c>
      <c r="G12" s="9">
        <f t="shared" ref="G12:G17" si="3">E12*F12</f>
        <v>72.62</v>
      </c>
      <c r="H12" s="5"/>
      <c r="I12" s="1" t="s">
        <v>38</v>
      </c>
      <c r="J12" s="4"/>
    </row>
    <row r="13" spans="1:14" ht="15" customHeight="1" x14ac:dyDescent="0.25">
      <c r="A13" s="10" t="s">
        <v>39</v>
      </c>
      <c r="B13" s="17" t="s">
        <v>66</v>
      </c>
      <c r="C13" s="2" t="s">
        <v>40</v>
      </c>
      <c r="D13" s="20">
        <v>191930200</v>
      </c>
      <c r="E13" s="2">
        <v>2</v>
      </c>
      <c r="F13" s="9">
        <v>0.5</v>
      </c>
      <c r="G13" s="9">
        <f t="shared" si="3"/>
        <v>1</v>
      </c>
      <c r="H13" s="5"/>
      <c r="I13" s="1" t="s">
        <v>41</v>
      </c>
      <c r="J13" s="4"/>
    </row>
    <row r="14" spans="1:14" ht="15" customHeight="1" x14ac:dyDescent="0.25">
      <c r="A14" s="10" t="s">
        <v>42</v>
      </c>
      <c r="B14" s="17" t="s">
        <v>66</v>
      </c>
      <c r="C14" s="2" t="s">
        <v>43</v>
      </c>
      <c r="D14" s="16">
        <v>191930089</v>
      </c>
      <c r="E14" s="2">
        <v>2</v>
      </c>
      <c r="F14" s="9">
        <v>0.42</v>
      </c>
      <c r="G14" s="9">
        <f t="shared" si="3"/>
        <v>0.84</v>
      </c>
      <c r="H14" s="5"/>
      <c r="I14" s="1" t="s">
        <v>44</v>
      </c>
      <c r="J14" s="4"/>
    </row>
    <row r="15" spans="1:14" ht="15" customHeight="1" x14ac:dyDescent="0.25">
      <c r="A15" s="10" t="s">
        <v>45</v>
      </c>
      <c r="B15" s="17" t="s">
        <v>66</v>
      </c>
      <c r="C15" s="2" t="s">
        <v>46</v>
      </c>
      <c r="D15" s="20" t="s">
        <v>47</v>
      </c>
      <c r="E15" s="2">
        <v>1</v>
      </c>
      <c r="F15" s="9">
        <v>6.22</v>
      </c>
      <c r="G15" s="9">
        <f t="shared" si="3"/>
        <v>6.22</v>
      </c>
      <c r="H15" s="5"/>
      <c r="I15" s="1" t="s">
        <v>48</v>
      </c>
    </row>
    <row r="16" spans="1:14" ht="15" customHeight="1" x14ac:dyDescent="0.25">
      <c r="A16" s="10" t="s">
        <v>45</v>
      </c>
      <c r="B16" s="10" t="s">
        <v>67</v>
      </c>
      <c r="C16" s="2" t="s">
        <v>68</v>
      </c>
      <c r="D16" s="20" t="s">
        <v>69</v>
      </c>
      <c r="E16" s="2">
        <v>1</v>
      </c>
      <c r="F16" s="9">
        <v>12.94</v>
      </c>
      <c r="G16" s="9">
        <f t="shared" si="3"/>
        <v>12.94</v>
      </c>
      <c r="H16" s="5" t="s">
        <v>70</v>
      </c>
      <c r="I16" s="3" t="s">
        <v>64</v>
      </c>
      <c r="J16" s="3"/>
    </row>
    <row r="17" spans="1:11" ht="15" customHeight="1" x14ac:dyDescent="0.25">
      <c r="A17" s="10" t="s">
        <v>58</v>
      </c>
      <c r="B17" s="17" t="s">
        <v>66</v>
      </c>
      <c r="C17" s="2" t="s">
        <v>18</v>
      </c>
      <c r="D17" s="4" t="s">
        <v>59</v>
      </c>
      <c r="E17" s="2">
        <v>1</v>
      </c>
      <c r="F17" s="8">
        <v>23.22</v>
      </c>
      <c r="G17" s="9">
        <f t="shared" si="3"/>
        <v>23.22</v>
      </c>
      <c r="H17" s="5"/>
      <c r="I17" s="3" t="s">
        <v>60</v>
      </c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ht="15" customHeight="1" x14ac:dyDescent="0.25">
      <c r="A21" t="s">
        <v>19</v>
      </c>
      <c r="B21" s="17" t="s">
        <v>66</v>
      </c>
      <c r="C21" s="2" t="s">
        <v>20</v>
      </c>
      <c r="D21" s="2" t="s">
        <v>21</v>
      </c>
      <c r="E21" s="2">
        <v>2</v>
      </c>
      <c r="F21" s="9">
        <v>2.72</v>
      </c>
      <c r="G21" s="9">
        <v>5.44</v>
      </c>
      <c r="H21" s="5"/>
      <c r="I21" s="1" t="s">
        <v>22</v>
      </c>
    </row>
    <row r="22" spans="1:11" ht="15" customHeight="1" x14ac:dyDescent="0.25">
      <c r="A22" s="10" t="s">
        <v>23</v>
      </c>
      <c r="B22" s="17" t="s">
        <v>66</v>
      </c>
      <c r="C22" s="2" t="s">
        <v>24</v>
      </c>
      <c r="D22" s="2" t="s">
        <v>25</v>
      </c>
      <c r="E22" s="2">
        <v>1</v>
      </c>
      <c r="F22" s="9">
        <v>12.54</v>
      </c>
      <c r="G22" s="9">
        <v>12.54</v>
      </c>
      <c r="H22" s="5"/>
      <c r="I22" s="1" t="s">
        <v>26</v>
      </c>
      <c r="J22" s="1" t="s">
        <v>27</v>
      </c>
    </row>
    <row r="23" spans="1:11" ht="15" customHeight="1" x14ac:dyDescent="0.25">
      <c r="A23" s="10" t="s">
        <v>28</v>
      </c>
      <c r="B23" s="17" t="s">
        <v>66</v>
      </c>
      <c r="C23" s="2" t="s">
        <v>24</v>
      </c>
      <c r="D23" s="2" t="s">
        <v>29</v>
      </c>
      <c r="E23" s="2">
        <v>1</v>
      </c>
      <c r="F23" s="9">
        <v>12.54</v>
      </c>
      <c r="G23" s="9">
        <v>12.54</v>
      </c>
      <c r="H23" s="5"/>
      <c r="I23" s="1" t="s">
        <v>26</v>
      </c>
      <c r="J23" s="1" t="s">
        <v>30</v>
      </c>
    </row>
    <row r="24" spans="1:11" ht="15" customHeight="1" x14ac:dyDescent="0.25">
      <c r="A24" s="10" t="s">
        <v>31</v>
      </c>
      <c r="B24" s="17" t="s">
        <v>66</v>
      </c>
      <c r="C24" s="2" t="s">
        <v>32</v>
      </c>
      <c r="D24" s="2" t="s">
        <v>33</v>
      </c>
      <c r="E24" s="2">
        <v>1</v>
      </c>
      <c r="F24" s="9">
        <v>128.19</v>
      </c>
      <c r="G24" s="9">
        <v>128.19</v>
      </c>
      <c r="H24" s="5"/>
      <c r="I24" s="1" t="s">
        <v>34</v>
      </c>
      <c r="J24" s="4"/>
    </row>
    <row r="25" spans="1:11" ht="15" customHeight="1" x14ac:dyDescent="0.25">
      <c r="A25" s="10" t="s">
        <v>78</v>
      </c>
      <c r="B25" s="17" t="s">
        <v>66</v>
      </c>
      <c r="C25" s="16" t="s">
        <v>109</v>
      </c>
      <c r="D25" s="2" t="s">
        <v>110</v>
      </c>
      <c r="E25" s="2">
        <v>1</v>
      </c>
      <c r="F25" s="9">
        <v>6.15</v>
      </c>
      <c r="G25" s="9">
        <v>6.15</v>
      </c>
      <c r="H25" s="5"/>
      <c r="I25" s="1" t="s">
        <v>111</v>
      </c>
      <c r="J25" s="4"/>
    </row>
    <row r="26" spans="1:11" ht="15" customHeight="1" x14ac:dyDescent="0.25">
      <c r="A26" s="10" t="s">
        <v>79</v>
      </c>
      <c r="B26" s="17" t="s">
        <v>66</v>
      </c>
      <c r="C26" s="2" t="s">
        <v>112</v>
      </c>
      <c r="D26" s="2" t="s">
        <v>113</v>
      </c>
      <c r="E26" s="2">
        <v>2</v>
      </c>
      <c r="F26" s="9">
        <v>2.4</v>
      </c>
      <c r="G26" s="9">
        <v>4.8</v>
      </c>
      <c r="H26" s="5"/>
      <c r="I26" s="1" t="s">
        <v>114</v>
      </c>
      <c r="J26" s="4"/>
    </row>
    <row r="27" spans="1:11" ht="15" customHeight="1" x14ac:dyDescent="0.25">
      <c r="A27" s="10" t="s">
        <v>80</v>
      </c>
      <c r="B27" s="17" t="s">
        <v>66</v>
      </c>
      <c r="C27" s="2" t="s">
        <v>115</v>
      </c>
      <c r="D27" s="2" t="s">
        <v>116</v>
      </c>
      <c r="E27" s="2">
        <v>2</v>
      </c>
      <c r="F27" s="9">
        <v>2.4</v>
      </c>
      <c r="G27" s="9">
        <v>4.8</v>
      </c>
      <c r="H27" s="5"/>
      <c r="I27" s="1" t="s">
        <v>117</v>
      </c>
      <c r="J27" s="4"/>
    </row>
    <row r="28" spans="1:11" ht="15" customHeight="1" x14ac:dyDescent="0.25">
      <c r="A28" s="10" t="s">
        <v>35</v>
      </c>
      <c r="B28" s="17" t="s">
        <v>66</v>
      </c>
      <c r="C28" s="2" t="s">
        <v>36</v>
      </c>
      <c r="D28" s="4" t="s">
        <v>37</v>
      </c>
      <c r="E28" s="2">
        <v>1</v>
      </c>
      <c r="F28" s="9">
        <v>72.62</v>
      </c>
      <c r="G28" s="9">
        <v>72.62</v>
      </c>
      <c r="H28" s="5"/>
      <c r="I28" s="1" t="s">
        <v>38</v>
      </c>
      <c r="J28" s="4"/>
    </row>
    <row r="29" spans="1:11" ht="15" customHeight="1" x14ac:dyDescent="0.25">
      <c r="A29" t="s">
        <v>81</v>
      </c>
      <c r="B29" s="17" t="s">
        <v>66</v>
      </c>
      <c r="C29" t="s">
        <v>118</v>
      </c>
      <c r="D29" t="s">
        <v>119</v>
      </c>
      <c r="E29">
        <v>1</v>
      </c>
      <c r="F29" s="23">
        <v>5.14</v>
      </c>
      <c r="G29" s="23">
        <v>5.14</v>
      </c>
      <c r="H29" t="s">
        <v>120</v>
      </c>
      <c r="I29" t="s">
        <v>121</v>
      </c>
      <c r="J29" s="4"/>
    </row>
    <row r="30" spans="1:11" ht="15" customHeight="1" x14ac:dyDescent="0.25">
      <c r="A30" s="10" t="s">
        <v>82</v>
      </c>
      <c r="B30" s="17" t="s">
        <v>66</v>
      </c>
      <c r="C30" s="2" t="s">
        <v>122</v>
      </c>
      <c r="D30" s="2" t="s">
        <v>123</v>
      </c>
      <c r="E30" s="2">
        <v>1</v>
      </c>
      <c r="F30" s="8">
        <v>2.72</v>
      </c>
      <c r="G30" s="9">
        <v>2.72</v>
      </c>
      <c r="H30" s="5"/>
      <c r="I30" s="3" t="s">
        <v>124</v>
      </c>
      <c r="J30" s="4"/>
    </row>
    <row r="31" spans="1:11" ht="15" customHeight="1" x14ac:dyDescent="0.25">
      <c r="A31" s="10" t="s">
        <v>83</v>
      </c>
      <c r="B31" s="17" t="s">
        <v>66</v>
      </c>
      <c r="C31" s="2" t="s">
        <v>125</v>
      </c>
      <c r="D31" s="2" t="s">
        <v>126</v>
      </c>
      <c r="E31" s="2">
        <v>4</v>
      </c>
      <c r="F31" s="8">
        <v>0.37</v>
      </c>
      <c r="G31" s="9">
        <v>1.48</v>
      </c>
      <c r="H31" s="5"/>
      <c r="I31" s="3" t="s">
        <v>127</v>
      </c>
      <c r="J31" s="4"/>
    </row>
    <row r="32" spans="1:11" ht="15" customHeight="1" x14ac:dyDescent="0.25">
      <c r="A32" s="22" t="s">
        <v>84</v>
      </c>
      <c r="B32" s="17" t="s">
        <v>66</v>
      </c>
      <c r="C32" s="11" t="s">
        <v>128</v>
      </c>
      <c r="D32" s="11" t="s">
        <v>129</v>
      </c>
      <c r="E32" s="12">
        <v>4</v>
      </c>
      <c r="F32" s="13">
        <v>0.04</v>
      </c>
      <c r="G32" s="9">
        <v>0.16</v>
      </c>
      <c r="H32" s="11"/>
      <c r="I32" s="21" t="s">
        <v>130</v>
      </c>
      <c r="J32" s="4"/>
    </row>
    <row r="33" spans="1:10" ht="15" customHeight="1" x14ac:dyDescent="0.25">
      <c r="A33" s="4" t="s">
        <v>85</v>
      </c>
      <c r="B33" s="17" t="s">
        <v>66</v>
      </c>
      <c r="C33" s="4" t="s">
        <v>131</v>
      </c>
      <c r="D33" s="4" t="s">
        <v>132</v>
      </c>
      <c r="E33" s="4">
        <v>1</v>
      </c>
      <c r="F33" s="24">
        <v>9.99</v>
      </c>
      <c r="G33" s="9">
        <v>9.99</v>
      </c>
      <c r="H33" s="11"/>
      <c r="I33" s="25" t="s">
        <v>133</v>
      </c>
      <c r="J33" s="4"/>
    </row>
    <row r="34" spans="1:10" ht="15" customHeight="1" x14ac:dyDescent="0.25">
      <c r="A34" s="4" t="s">
        <v>86</v>
      </c>
      <c r="B34" s="17" t="s">
        <v>66</v>
      </c>
      <c r="C34" s="4" t="s">
        <v>134</v>
      </c>
      <c r="D34" s="4" t="s">
        <v>135</v>
      </c>
      <c r="E34" s="4">
        <v>2</v>
      </c>
      <c r="F34" s="24">
        <v>11.18</v>
      </c>
      <c r="G34" s="9">
        <v>22.36</v>
      </c>
      <c r="H34" s="11"/>
      <c r="I34" s="25" t="s">
        <v>136</v>
      </c>
      <c r="J34" s="4"/>
    </row>
    <row r="35" spans="1:10" ht="15" customHeight="1" x14ac:dyDescent="0.25">
      <c r="A35" s="4" t="s">
        <v>87</v>
      </c>
      <c r="B35" s="17" t="s">
        <v>66</v>
      </c>
      <c r="C35" s="4" t="s">
        <v>137</v>
      </c>
      <c r="D35" s="4" t="s">
        <v>138</v>
      </c>
      <c r="E35" s="4">
        <v>6</v>
      </c>
      <c r="F35" s="24">
        <v>3.85</v>
      </c>
      <c r="G35" s="9">
        <v>23.1</v>
      </c>
      <c r="H35" s="11"/>
      <c r="I35" s="25" t="s">
        <v>139</v>
      </c>
      <c r="J35" s="4"/>
    </row>
    <row r="36" spans="1:10" ht="15" customHeight="1" x14ac:dyDescent="0.25">
      <c r="A36" s="4" t="s">
        <v>88</v>
      </c>
      <c r="B36" s="17" t="s">
        <v>66</v>
      </c>
      <c r="C36" s="4" t="s">
        <v>140</v>
      </c>
      <c r="D36" s="4" t="s">
        <v>141</v>
      </c>
      <c r="E36" s="4">
        <v>2</v>
      </c>
      <c r="F36" s="24">
        <v>8.19</v>
      </c>
      <c r="G36" s="9">
        <v>16.38</v>
      </c>
      <c r="H36" s="11"/>
      <c r="I36" s="25" t="s">
        <v>142</v>
      </c>
      <c r="J36" s="4"/>
    </row>
    <row r="37" spans="1:10" ht="15" customHeight="1" x14ac:dyDescent="0.25">
      <c r="A37" s="4" t="s">
        <v>89</v>
      </c>
      <c r="B37" s="17" t="s">
        <v>66</v>
      </c>
      <c r="C37" s="4" t="s">
        <v>143</v>
      </c>
      <c r="D37" s="4" t="s">
        <v>144</v>
      </c>
      <c r="E37" s="4">
        <v>1</v>
      </c>
      <c r="F37" s="24">
        <v>15.98</v>
      </c>
      <c r="G37" s="9">
        <v>15.98</v>
      </c>
      <c r="H37" s="11"/>
      <c r="I37" s="25" t="s">
        <v>145</v>
      </c>
      <c r="J37" s="4"/>
    </row>
    <row r="38" spans="1:10" ht="15" customHeight="1" x14ac:dyDescent="0.25">
      <c r="A38" s="4" t="s">
        <v>90</v>
      </c>
      <c r="B38" s="17" t="s">
        <v>66</v>
      </c>
      <c r="C38" s="4" t="s">
        <v>146</v>
      </c>
      <c r="D38" s="4" t="s">
        <v>147</v>
      </c>
      <c r="E38" s="4">
        <v>1</v>
      </c>
      <c r="F38" s="24">
        <v>19.989999999999998</v>
      </c>
      <c r="G38" s="9">
        <v>19.989999999999998</v>
      </c>
      <c r="H38" s="11"/>
      <c r="I38" s="25" t="s">
        <v>148</v>
      </c>
      <c r="J38" s="4"/>
    </row>
    <row r="39" spans="1:10" ht="15" customHeight="1" x14ac:dyDescent="0.25">
      <c r="A39" s="22" t="s">
        <v>91</v>
      </c>
      <c r="B39" s="17" t="s">
        <v>66</v>
      </c>
      <c r="C39" s="11" t="s">
        <v>149</v>
      </c>
      <c r="D39" s="11" t="s">
        <v>150</v>
      </c>
      <c r="E39" s="12">
        <v>1</v>
      </c>
      <c r="F39" s="13">
        <v>820</v>
      </c>
      <c r="G39" s="9">
        <v>820</v>
      </c>
      <c r="H39" s="9" t="s">
        <v>151</v>
      </c>
      <c r="I39" s="21" t="s">
        <v>152</v>
      </c>
      <c r="J39" s="4"/>
    </row>
    <row r="40" spans="1:10" ht="15" customHeight="1" x14ac:dyDescent="0.25">
      <c r="A40" s="22" t="s">
        <v>92</v>
      </c>
      <c r="B40" s="17" t="s">
        <v>66</v>
      </c>
      <c r="C40" s="11" t="s">
        <v>153</v>
      </c>
      <c r="D40" s="11" t="s">
        <v>154</v>
      </c>
      <c r="E40" s="12">
        <v>3</v>
      </c>
      <c r="F40" s="13">
        <v>235</v>
      </c>
      <c r="G40" s="9">
        <v>705</v>
      </c>
      <c r="H40" s="9" t="s">
        <v>155</v>
      </c>
      <c r="I40" s="21" t="s">
        <v>156</v>
      </c>
      <c r="J40" s="4"/>
    </row>
    <row r="41" spans="1:10" ht="15" customHeight="1" x14ac:dyDescent="0.25">
      <c r="A41" s="22" t="s">
        <v>93</v>
      </c>
      <c r="B41" s="17" t="s">
        <v>66</v>
      </c>
      <c r="C41" s="11" t="s">
        <v>157</v>
      </c>
      <c r="D41" s="11" t="s">
        <v>158</v>
      </c>
      <c r="E41" s="12">
        <v>3</v>
      </c>
      <c r="F41" s="13">
        <v>135.47</v>
      </c>
      <c r="G41" s="9">
        <v>406.40999999999997</v>
      </c>
      <c r="H41" s="9" t="s">
        <v>159</v>
      </c>
      <c r="I41" s="11" t="s">
        <v>160</v>
      </c>
      <c r="J41" s="4"/>
    </row>
    <row r="42" spans="1:10" ht="15" customHeight="1" x14ac:dyDescent="0.25">
      <c r="A42" s="22" t="s">
        <v>94</v>
      </c>
      <c r="B42" s="17" t="s">
        <v>66</v>
      </c>
      <c r="C42" s="11" t="s">
        <v>161</v>
      </c>
      <c r="D42" s="22" t="s">
        <v>162</v>
      </c>
      <c r="E42" s="12">
        <v>1</v>
      </c>
      <c r="F42" s="13">
        <v>3048</v>
      </c>
      <c r="G42" s="9">
        <v>3048</v>
      </c>
      <c r="I42" s="21" t="s">
        <v>163</v>
      </c>
      <c r="J42" s="21" t="s">
        <v>164</v>
      </c>
    </row>
    <row r="43" spans="1:10" ht="15" customHeight="1" x14ac:dyDescent="0.25">
      <c r="A43" s="2" t="s">
        <v>95</v>
      </c>
      <c r="B43" s="17" t="s">
        <v>66</v>
      </c>
      <c r="C43" s="11" t="s">
        <v>165</v>
      </c>
      <c r="D43" s="2" t="s">
        <v>166</v>
      </c>
      <c r="E43" s="2">
        <v>1</v>
      </c>
      <c r="F43" s="5">
        <v>162.72</v>
      </c>
      <c r="G43" s="9">
        <v>162.72</v>
      </c>
      <c r="H43" s="5"/>
      <c r="I43" s="3" t="s">
        <v>167</v>
      </c>
      <c r="J43" s="3" t="s">
        <v>168</v>
      </c>
    </row>
    <row r="44" spans="1:10" ht="15" customHeight="1" x14ac:dyDescent="0.25">
      <c r="A44" s="22" t="s">
        <v>96</v>
      </c>
      <c r="B44" s="17" t="s">
        <v>66</v>
      </c>
      <c r="C44" s="11" t="s">
        <v>165</v>
      </c>
      <c r="D44" s="11" t="s">
        <v>169</v>
      </c>
      <c r="E44" s="11">
        <v>1</v>
      </c>
      <c r="F44" s="12">
        <v>162.72</v>
      </c>
      <c r="G44" s="9">
        <v>162.72</v>
      </c>
      <c r="I44" s="11" t="s">
        <v>167</v>
      </c>
      <c r="J44" s="21" t="s">
        <v>170</v>
      </c>
    </row>
    <row r="45" spans="1:10" ht="15" customHeight="1" x14ac:dyDescent="0.25">
      <c r="A45" s="2" t="s">
        <v>97</v>
      </c>
      <c r="B45" s="17" t="s">
        <v>66</v>
      </c>
      <c r="C45" s="2" t="s">
        <v>171</v>
      </c>
      <c r="D45" s="2"/>
      <c r="E45" s="2">
        <v>1</v>
      </c>
      <c r="F45" s="5">
        <v>22.56</v>
      </c>
      <c r="G45" s="9">
        <v>22.56</v>
      </c>
      <c r="I45" s="3" t="s">
        <v>172</v>
      </c>
      <c r="J45" s="21"/>
    </row>
    <row r="46" spans="1:10" ht="15" customHeight="1" x14ac:dyDescent="0.25">
      <c r="A46" t="s">
        <v>98</v>
      </c>
      <c r="B46" s="17" t="s">
        <v>66</v>
      </c>
      <c r="C46" t="s">
        <v>173</v>
      </c>
      <c r="D46" t="s">
        <v>174</v>
      </c>
      <c r="E46">
        <v>1</v>
      </c>
      <c r="F46" s="23">
        <v>88.78</v>
      </c>
      <c r="G46" s="9">
        <v>88.78</v>
      </c>
      <c r="H46" t="s">
        <v>175</v>
      </c>
      <c r="I46" t="s">
        <v>176</v>
      </c>
    </row>
    <row r="47" spans="1:10" ht="15" customHeight="1" x14ac:dyDescent="0.25">
      <c r="A47" t="s">
        <v>99</v>
      </c>
      <c r="B47" s="17" t="s">
        <v>66</v>
      </c>
      <c r="C47" t="s">
        <v>177</v>
      </c>
      <c r="D47" t="s">
        <v>178</v>
      </c>
      <c r="E47">
        <v>1</v>
      </c>
      <c r="F47" s="23">
        <v>357.1</v>
      </c>
      <c r="G47" s="9">
        <v>357.1</v>
      </c>
      <c r="H47" t="s">
        <v>179</v>
      </c>
      <c r="I47" t="s">
        <v>180</v>
      </c>
    </row>
    <row r="48" spans="1:10" ht="15" customHeight="1" x14ac:dyDescent="0.25">
      <c r="A48" t="s">
        <v>100</v>
      </c>
      <c r="B48" s="17" t="s">
        <v>66</v>
      </c>
      <c r="C48" t="s">
        <v>181</v>
      </c>
      <c r="D48" t="s">
        <v>182</v>
      </c>
      <c r="E48">
        <v>3</v>
      </c>
      <c r="F48" s="23">
        <v>106.72</v>
      </c>
      <c r="G48" s="9">
        <v>320.15999999999997</v>
      </c>
      <c r="H48" t="s">
        <v>183</v>
      </c>
      <c r="I48" t="s">
        <v>184</v>
      </c>
    </row>
    <row r="49" spans="1:10" x14ac:dyDescent="0.25">
      <c r="A49" t="s">
        <v>101</v>
      </c>
      <c r="B49" s="17" t="s">
        <v>66</v>
      </c>
      <c r="C49" t="s">
        <v>185</v>
      </c>
      <c r="D49" t="s">
        <v>186</v>
      </c>
      <c r="E49">
        <v>1</v>
      </c>
      <c r="F49" s="23">
        <v>137.65</v>
      </c>
      <c r="G49" s="9">
        <v>137.65</v>
      </c>
      <c r="H49" t="s">
        <v>187</v>
      </c>
      <c r="I49" t="s">
        <v>188</v>
      </c>
    </row>
    <row r="50" spans="1:10" x14ac:dyDescent="0.25">
      <c r="A50" t="s">
        <v>102</v>
      </c>
      <c r="B50" s="17" t="s">
        <v>66</v>
      </c>
      <c r="C50" t="s">
        <v>189</v>
      </c>
      <c r="D50" t="s">
        <v>190</v>
      </c>
      <c r="E50">
        <v>1</v>
      </c>
      <c r="F50" s="23">
        <v>56.85</v>
      </c>
      <c r="G50" s="9">
        <v>56.85</v>
      </c>
      <c r="H50" t="s">
        <v>191</v>
      </c>
      <c r="I50" t="s">
        <v>192</v>
      </c>
    </row>
    <row r="51" spans="1:10" x14ac:dyDescent="0.25">
      <c r="A51" t="s">
        <v>103</v>
      </c>
      <c r="B51" s="17" t="s">
        <v>66</v>
      </c>
      <c r="C51" t="s">
        <v>193</v>
      </c>
      <c r="D51" t="s">
        <v>194</v>
      </c>
      <c r="E51">
        <v>1</v>
      </c>
      <c r="F51" s="23">
        <v>281.25</v>
      </c>
      <c r="G51" s="9">
        <v>281.25</v>
      </c>
      <c r="H51" t="s">
        <v>195</v>
      </c>
      <c r="I51" t="s">
        <v>196</v>
      </c>
    </row>
    <row r="52" spans="1:10" x14ac:dyDescent="0.25">
      <c r="A52" t="s">
        <v>104</v>
      </c>
      <c r="B52" s="17" t="s">
        <v>66</v>
      </c>
      <c r="C52" t="s">
        <v>197</v>
      </c>
      <c r="D52" t="s">
        <v>198</v>
      </c>
      <c r="E52">
        <v>3</v>
      </c>
      <c r="F52" s="23">
        <v>1.71</v>
      </c>
      <c r="G52" s="9">
        <v>5.13</v>
      </c>
      <c r="I52" s="23" t="s">
        <v>199</v>
      </c>
      <c r="J52" t="s">
        <v>200</v>
      </c>
    </row>
    <row r="53" spans="1:10" x14ac:dyDescent="0.25">
      <c r="A53" t="s">
        <v>105</v>
      </c>
      <c r="B53" s="17" t="s">
        <v>66</v>
      </c>
      <c r="C53" t="s">
        <v>201</v>
      </c>
      <c r="D53" t="s">
        <v>202</v>
      </c>
      <c r="E53">
        <v>1</v>
      </c>
      <c r="F53" s="8">
        <v>765</v>
      </c>
      <c r="G53" s="9">
        <v>765</v>
      </c>
      <c r="H53" s="8" t="s">
        <v>203</v>
      </c>
      <c r="I53" t="s">
        <v>204</v>
      </c>
      <c r="J53" s="1" t="s">
        <v>205</v>
      </c>
    </row>
    <row r="54" spans="1:10" x14ac:dyDescent="0.25">
      <c r="A54" t="s">
        <v>106</v>
      </c>
      <c r="B54" s="17" t="s">
        <v>66</v>
      </c>
      <c r="C54" t="s">
        <v>206</v>
      </c>
      <c r="D54" t="s">
        <v>207</v>
      </c>
      <c r="E54">
        <v>1</v>
      </c>
      <c r="F54" s="8">
        <v>1027.1199999999999</v>
      </c>
      <c r="G54" s="9">
        <v>1027.1199999999999</v>
      </c>
      <c r="H54" s="8" t="s">
        <v>208</v>
      </c>
      <c r="I54" t="s">
        <v>209</v>
      </c>
      <c r="J54" s="1" t="s">
        <v>210</v>
      </c>
    </row>
    <row r="55" spans="1:10" x14ac:dyDescent="0.25">
      <c r="A55" t="s">
        <v>107</v>
      </c>
      <c r="B55" s="17" t="s">
        <v>66</v>
      </c>
      <c r="C55" t="s">
        <v>211</v>
      </c>
      <c r="D55" t="s">
        <v>212</v>
      </c>
      <c r="E55">
        <v>1</v>
      </c>
      <c r="F55" s="23">
        <v>7877</v>
      </c>
      <c r="H55" t="s">
        <v>213</v>
      </c>
      <c r="I55" t="s">
        <v>214</v>
      </c>
    </row>
    <row r="56" spans="1:10" x14ac:dyDescent="0.25">
      <c r="A56" t="s">
        <v>108</v>
      </c>
      <c r="B56" s="17" t="s">
        <v>66</v>
      </c>
      <c r="C56" t="s">
        <v>215</v>
      </c>
      <c r="D56" t="s">
        <v>216</v>
      </c>
      <c r="E56">
        <v>1</v>
      </c>
      <c r="F56" s="23">
        <v>31.99</v>
      </c>
      <c r="G56" s="23">
        <v>31.99</v>
      </c>
      <c r="H56" t="s">
        <v>217</v>
      </c>
      <c r="I56" t="s">
        <v>218</v>
      </c>
    </row>
    <row r="57" spans="1:10" x14ac:dyDescent="0.25">
      <c r="B57" s="17"/>
    </row>
    <row r="58" spans="1:10" x14ac:dyDescent="0.25">
      <c r="B58" s="17"/>
    </row>
    <row r="59" spans="1:10" x14ac:dyDescent="0.25">
      <c r="B59" s="17"/>
    </row>
    <row r="60" spans="1:10" x14ac:dyDescent="0.25">
      <c r="B60" s="17"/>
    </row>
    <row r="61" spans="1:10" x14ac:dyDescent="0.25">
      <c r="F61" s="7" t="s">
        <v>7</v>
      </c>
      <c r="G61" s="5">
        <f>SUM(G2:G60)</f>
        <v>9203.68</v>
      </c>
    </row>
  </sheetData>
  <phoneticPr fontId="3" type="noConversion"/>
  <hyperlinks>
    <hyperlink ref="I2" r:id="rId1" xr:uid="{47569AE6-6AA0-4875-B93F-ACB3A5943EC4}"/>
    <hyperlink ref="I9" r:id="rId2" xr:uid="{29C65987-503D-4D38-A3A8-F300B92B5979}"/>
    <hyperlink ref="I6" r:id="rId3" xr:uid="{D49830EC-B643-4C9C-A66A-316B6E8D393B}"/>
    <hyperlink ref="J7" r:id="rId4" xr:uid="{DB6CFF9E-0CFE-4630-97DC-2259E72BBA6B}"/>
    <hyperlink ref="J8" r:id="rId5" xr:uid="{7F0A5667-B170-4E9F-A116-7812C5481D5D}"/>
    <hyperlink ref="I7" r:id="rId6" xr:uid="{47AB98CE-DF5D-4668-ABC4-20DA7A425CBD}"/>
    <hyperlink ref="I8" r:id="rId7" xr:uid="{FE305D2A-720D-4EAC-A689-433507294DC8}"/>
    <hyperlink ref="I12" r:id="rId8" xr:uid="{4AF02486-862F-4C90-B472-12C65FB0F86D}"/>
    <hyperlink ref="I13" r:id="rId9" xr:uid="{60DC3860-834C-416B-A80D-912D2A7218E7}"/>
    <hyperlink ref="I14" r:id="rId10" xr:uid="{DEEF517E-6B30-41FE-90B5-BDD5F67AF727}"/>
    <hyperlink ref="I15" r:id="rId11" xr:uid="{F28C2672-213B-4C58-924E-5743A03E60B9}"/>
    <hyperlink ref="I5" r:id="rId12" xr:uid="{0BF14A02-DB2B-44C8-ADFD-F6B888D0D1E2}"/>
    <hyperlink ref="I3" r:id="rId13" xr:uid="{D098FC55-60BA-44A1-88B5-F7A95F7F2234}"/>
    <hyperlink ref="I4" r:id="rId14" xr:uid="{E4B64C1A-2E26-4C6F-9252-C15670A96A6B}"/>
    <hyperlink ref="I17" r:id="rId15" xr:uid="{BC482846-CA0B-4C8C-A6F1-3CDFDF09F63D}"/>
    <hyperlink ref="I16" r:id="rId16" xr:uid="{33EA6662-3BF5-4567-9053-50ED0DB9E78A}"/>
    <hyperlink ref="I10" r:id="rId17" xr:uid="{481207C2-2276-4195-833B-5B8F0CF49279}"/>
    <hyperlink ref="I11" r:id="rId18" xr:uid="{9A6ACCBE-7885-4833-B391-4A619D41B841}"/>
    <hyperlink ref="I24" r:id="rId19" xr:uid="{69C23E45-29AA-47FB-BE9B-2AE614B77C83}"/>
    <hyperlink ref="I21" r:id="rId20" xr:uid="{F39CA3E8-0E7F-4D14-B47D-FB9B637BEFBF}"/>
    <hyperlink ref="I22" r:id="rId21" xr:uid="{10C95AC9-075E-42F1-9F35-5641E1334E99}"/>
    <hyperlink ref="I23" r:id="rId22" xr:uid="{75AF6812-83F6-4049-924E-6E150C43BB6C}"/>
    <hyperlink ref="I25" r:id="rId23" xr:uid="{B34F6116-3904-4136-83DC-1ED778E50D3C}"/>
    <hyperlink ref="I26" r:id="rId24" xr:uid="{CB356497-2003-425A-B8A7-BE51B9B913EE}"/>
    <hyperlink ref="I27" r:id="rId25" xr:uid="{21C1BAB4-A1A3-4E88-8334-DF28738598D1}"/>
    <hyperlink ref="J22" r:id="rId26" xr:uid="{2F4C748B-C31C-4C18-98A1-F896819BEDE6}"/>
    <hyperlink ref="J23" r:id="rId27" xr:uid="{6767DCFE-C4EA-4F98-917F-25EE5BC81B62}"/>
    <hyperlink ref="I28" r:id="rId28" xr:uid="{7788AAC0-3264-469D-9FE8-88ABE62A1188}"/>
    <hyperlink ref="I32" r:id="rId29" xr:uid="{22EA5B08-E3BF-44B7-9BC4-A52144A8B4E8}"/>
    <hyperlink ref="I30" r:id="rId30" xr:uid="{F2E7CC8F-238C-4247-B8F0-EE48259CB0DF}"/>
    <hyperlink ref="I33" r:id="rId31" xr:uid="{F29AC6CF-4907-45B0-BC34-91C3207BD632}"/>
    <hyperlink ref="I34" r:id="rId32" xr:uid="{3FD93DE0-ECDF-4FB7-A578-6AF0D2D996ED}"/>
    <hyperlink ref="I35" r:id="rId33" xr:uid="{3F6317A3-86C7-4440-A334-39A180A39711}"/>
    <hyperlink ref="I36" r:id="rId34" xr:uid="{39DE19D3-FCF4-467B-8F2D-A73B81512E9F}"/>
    <hyperlink ref="I37" r:id="rId35" xr:uid="{7FC4A310-EBC9-4D11-9C0E-8C50EE8E0B48}"/>
    <hyperlink ref="I38" r:id="rId36" xr:uid="{E217CB8D-6697-480F-AB05-6E861D45E616}"/>
    <hyperlink ref="I42" r:id="rId37" xr:uid="{F5763F8F-45B6-4F94-A467-1390B137089B}"/>
    <hyperlink ref="I45" r:id="rId38" xr:uid="{13E53C69-7D44-4E9D-91C7-B43E62EF0211}"/>
    <hyperlink ref="J43" r:id="rId39" xr:uid="{A474115A-216C-45C9-8151-150153D205B7}"/>
    <hyperlink ref="I43" r:id="rId40" xr:uid="{DE0714B2-69C6-48B2-8CDD-985269F450C7}"/>
    <hyperlink ref="J53" r:id="rId41" xr:uid="{8049C48E-C4B0-495E-9124-9CCD92510653}"/>
    <hyperlink ref="J54" r:id="rId42" xr:uid="{20B5B22B-708C-4B8C-AA8D-54CE2BC9E7C0}"/>
    <hyperlink ref="J44" r:id="rId43" xr:uid="{CA934B0B-0450-4ADA-AF73-0EF6C2AA1AC8}"/>
    <hyperlink ref="I40" r:id="rId44" xr:uid="{87DA6062-3B84-4BEC-9C2A-3105CB068282}"/>
    <hyperlink ref="I39" r:id="rId45" xr:uid="{247862D9-AA8E-42DE-8A47-9D24CF605D75}"/>
  </hyperlinks>
  <pageMargins left="0.7" right="0.7" top="0.75" bottom="0.75" header="0.3" footer="0.3"/>
  <pageSetup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2026-09-12T18:21:19Z</dcterms:modified>
</cp:coreProperties>
</file>