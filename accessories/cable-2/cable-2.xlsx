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fa0fe96562a9e/Documents/GitHub/Battery-Lab-Hardware/accessories/cable-2/"/>
    </mc:Choice>
  </mc:AlternateContent>
  <xr:revisionPtr revIDLastSave="56" documentId="13_ncr:1_{8D074E32-F380-4A8B-BFB4-C9C0509B5722}" xr6:coauthVersionLast="47" xr6:coauthVersionMax="47" xr10:uidLastSave="{BC190208-072E-41E2-B21D-04C696366BAB}"/>
  <bookViews>
    <workbookView xWindow="15480" yWindow="1080" windowWidth="3720" windowHeight="5527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3" i="1"/>
  <c r="F4" i="1"/>
  <c r="F5" i="1"/>
  <c r="F2" i="1"/>
  <c r="F20" i="1" l="1"/>
</calcChain>
</file>

<file path=xl/sharedStrings.xml><?xml version="1.0" encoding="utf-8"?>
<sst xmlns="http://schemas.openxmlformats.org/spreadsheetml/2006/main" count="82" uniqueCount="80">
  <si>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</si>
  <si>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</si>
  <si>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</si>
  <si>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</si>
  <si>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</si>
  <si>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</si>
  <si>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</si>
  <si>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</si>
  <si>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</si>
  <si>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</si>
  <si>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</si>
  <si>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</si>
  <si>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1339G5-BK</t>
  </si>
  <si>
    <t>PM16P1620S30</t>
  </si>
  <si>
    <t>CONTACT PIN 16-20AWG STD 7.7MM</t>
  </si>
  <si>
    <t>TERM BLADE NON-GEND 8AWG SILVER</t>
  </si>
  <si>
    <t>Amount Per Cable</t>
  </si>
  <si>
    <t>Total Cost (Per Cable)</t>
  </si>
  <si>
    <t>https://www.digikey.com/en/products/detail/anderson-power-products-inc/1339G5-BK/10650046</t>
  </si>
  <si>
    <t>8 AWG Red/black Wire</t>
  </si>
  <si>
    <t>Wire-RB-08-50</t>
  </si>
  <si>
    <t>Red/Black Bonded Zip Cord Easy ID Low Voltage Cable</t>
  </si>
  <si>
    <t>https://powerwerx.com/red-black-bonded-zip-cord</t>
  </si>
  <si>
    <t>Stranded Hookup Wire - Black</t>
  </si>
  <si>
    <t>Stranded Hookup Wire - Red</t>
  </si>
  <si>
    <t>Stranded Hookup Wire (300 Volt)</t>
  </si>
  <si>
    <t>https://powerwerx.com/stranded-hookup-wire-300volt-ul1007</t>
  </si>
  <si>
    <t>https://www.digikey.com/en/products/detail/anderson-power-products-inc/SBS75XBLK-BK/10650428</t>
  </si>
  <si>
    <t>SBS75XBLK-BK</t>
  </si>
  <si>
    <t>CONN HSG 6POS BLACK</t>
  </si>
  <si>
    <t>SB50 connector</t>
  </si>
  <si>
    <t>SBS 75 connector</t>
  </si>
  <si>
    <t>SB50 SB Series Loose Piece Colored Housing</t>
  </si>
  <si>
    <t>992-BK</t>
  </si>
  <si>
    <t>https://powerwerx.com/992-bk-anderson-power-gray</t>
  </si>
  <si>
    <t>https://www.digikey.com/en/products/detail/anderson-power-products-inc/992-BK/10650284</t>
  </si>
  <si>
    <t>SB50/PP75 SB Series Powerpole Loose Piece Contact</t>
  </si>
  <si>
    <t>5952-BK</t>
  </si>
  <si>
    <t>https://powerwerx.com/5952-bk-anderson-power-8awg</t>
  </si>
  <si>
    <t>https://www.digikey.com/en/products/detail/anderson-power-products-inc/5952-BK/10650106</t>
  </si>
  <si>
    <t>PM16S1620S32</t>
  </si>
  <si>
    <t>CONTACT SOCKET 16-20AWG</t>
  </si>
  <si>
    <t>https://www.digikey.com/en/products/detail/anderson-power-products-inc/PM16P1620S30/10650436</t>
  </si>
  <si>
    <t>https://www.digikey.com/en/products/detail/anderson-power-products-inc/PM16S1620S32/10650063</t>
  </si>
  <si>
    <t>Wire-ST-16-00-100</t>
  </si>
  <si>
    <t>Wire-ST-16-02-100</t>
  </si>
  <si>
    <t>https://www.digikey.com/en/products/detail/remington-industries/16UL1007STRBLA/11613043</t>
  </si>
  <si>
    <t>https://www.digikey.com/en/products/detail/remington-industries/16UL1007STRRED/11613259</t>
  </si>
  <si>
    <t>SB50 main contact</t>
  </si>
  <si>
    <t>8 AWG main contact</t>
  </si>
  <si>
    <t>SBS 75 auxiliary pin</t>
  </si>
  <si>
    <t>SBS 75 auxiliary socket</t>
  </si>
  <si>
    <t>https://www.digikey.com/en/products/detail/techflex/NMN0-50BK100/2524519</t>
  </si>
  <si>
    <t>SLEEVING 0.5" ID POLY 100' BLACK</t>
  </si>
  <si>
    <t>Mesh Sleeving</t>
  </si>
  <si>
    <t>NMN0.50BK100</t>
  </si>
  <si>
    <t>https://www.digikey.com/en/products/detail/qualtek/Q5-2X-3-4-01-QB48IN-5/754962</t>
  </si>
  <si>
    <t>Adhesive Lined heat shrink</t>
  </si>
  <si>
    <t>HEATSHRINK 0.752" X 4' BLK 1=1PC</t>
  </si>
  <si>
    <t>Q5-2X-3/4-01-QB48IN-5</t>
  </si>
  <si>
    <t xml:space="preserve">SB50/120 T Handle </t>
  </si>
  <si>
    <t>Connector T Handle For SBS® 50, SBS® 75X Series</t>
  </si>
  <si>
    <t>113899P1</t>
  </si>
  <si>
    <t>https://www.digikey.com/en/products/detail/anderson-power-products-inc/113899P1/10647423?s=N4IgTCBcDaIIxwMwA4CcqAKcQF0C%2BQA</t>
  </si>
  <si>
    <t>HDW.BAG FOR SB/SBS50-HDL</t>
  </si>
  <si>
    <t>104G17</t>
  </si>
  <si>
    <t>https://www.digikey.com/en/products/detail/anderson-power-products-inc/104G17/14552097</t>
  </si>
  <si>
    <t>SB50 Handle Screws</t>
  </si>
  <si>
    <t>Standard Socket Head Cap Screw: M3x0.50, 20 mm Lg, Low-Profile Std, Black Oxide, Alloy Steel, 50 PK</t>
  </si>
  <si>
    <t>LHS4803020-050P1</t>
  </si>
  <si>
    <t>https://www.grainger.com/product/Standard-Socket-Head-Cap-Screw-6EA45</t>
  </si>
  <si>
    <t>T Handle Hex Nut</t>
  </si>
  <si>
    <t>Hex Nut: Std Hex, M3x0.50 Thread, 5.5 mm Hex Wd, 2.4 mm Hex Ht, Steel, Class 8, Zinc-Plated, 100 PK</t>
  </si>
  <si>
    <t>M01300.030.0001</t>
  </si>
  <si>
    <t>https://www.grainger.com/product/Hex-Nut-Std-Hex-26KR85?searchQuery=M01300.030.0001&amp;searchBar=true&amp;tier=Tier+6&amp;suggestConfigId=6&amp;s_e=false</t>
  </si>
  <si>
    <t>SBS75 Handle Screws Long</t>
  </si>
  <si>
    <t>SBS75 Handle Screws Short</t>
  </si>
  <si>
    <t>Standard Socket Head Cap Screw: M3x0.50, 18 mm Lg, Std, Black Oxide, Alloy Steel, Class 12.9, 100 PK</t>
  </si>
  <si>
    <t>M07000.030.0018</t>
  </si>
  <si>
    <t>https://www.grainger.com/product/Standard-Socket-Head-Cap-Screw-6CE54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</si>
</sst>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9"/>
      <color rgb="FF444444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2" applyFont="1" applyAlignment="1">
      <alignment vertical="top"/>
    </xf>
    <xf numFmtId="0" fontId="1" fillId="0" borderId="0" xfId="1" applyAlignment="1">
      <alignment vertical="top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werwerx.com/5952-bk-anderson-power-8awg" TargetMode="External"/><Relationship Id="rId13" Type="http://schemas.openxmlformats.org/officeDocument/2006/relationships/hyperlink" Target="https://www.digikey.com/en/products/detail/remington-industries/16UL1007STRRED/11613259" TargetMode="External"/><Relationship Id="rId18" Type="http://schemas.openxmlformats.org/officeDocument/2006/relationships/hyperlink" Target="https://www.grainger.com/product/Hex-Nut-Std-Hex-26KR85?searchQuery=M01300.030.0001&amp;searchBar=true&amp;tier=Tier+6&amp;suggestConfigId=6&amp;s_e=false" TargetMode="External"/><Relationship Id="rId3" Type="http://schemas.openxmlformats.org/officeDocument/2006/relationships/hyperlink" Target="https://powerwerx.com/stranded-hookup-wire-300volt-ul1007" TargetMode="External"/><Relationship Id="rId7" Type="http://schemas.openxmlformats.org/officeDocument/2006/relationships/hyperlink" Target="https://www.digikey.com/en/products/detail/anderson-power-products-inc/992-BK/10650284" TargetMode="External"/><Relationship Id="rId12" Type="http://schemas.openxmlformats.org/officeDocument/2006/relationships/hyperlink" Target="https://www.digikey.com/en/products/detail/remington-industries/16UL1007STRBLA/11613043" TargetMode="External"/><Relationship Id="rId17" Type="http://schemas.openxmlformats.org/officeDocument/2006/relationships/hyperlink" Target="https://www.digikey.com/en/products/detail/anderson-power-products-inc/104G17/14552097" TargetMode="External"/><Relationship Id="rId2" Type="http://schemas.openxmlformats.org/officeDocument/2006/relationships/hyperlink" Target="https://www.digikey.com/en/products/detail/anderson-power-products-inc/1339G5-BK/10650046" TargetMode="External"/><Relationship Id="rId16" Type="http://schemas.openxmlformats.org/officeDocument/2006/relationships/hyperlink" Target="https://www.digikey.com/en/products/detail/anderson-power-products-inc/113899P1/10647423?s=N4IgTCBcDaIIxwMwA4CcqAKcQF0C%2BQA" TargetMode="External"/><Relationship Id="rId1" Type="http://schemas.openxmlformats.org/officeDocument/2006/relationships/hyperlink" Target="https://powerwerx.com/red-black-bonded-zip-cord" TargetMode="External"/><Relationship Id="rId6" Type="http://schemas.openxmlformats.org/officeDocument/2006/relationships/hyperlink" Target="https://powerwerx.com/992-bk-anderson-power-gray" TargetMode="External"/><Relationship Id="rId11" Type="http://schemas.openxmlformats.org/officeDocument/2006/relationships/hyperlink" Target="https://www.digikey.com/en/products/detail/anderson-power-products-inc/PM16S1620S32/10650063" TargetMode="External"/><Relationship Id="rId5" Type="http://schemas.openxmlformats.org/officeDocument/2006/relationships/hyperlink" Target="https://www.digikey.com/en/products/detail/anderson-power-products-inc/SBS75XBLK-BK/10650428" TargetMode="External"/><Relationship Id="rId15" Type="http://schemas.openxmlformats.org/officeDocument/2006/relationships/hyperlink" Target="https://www.digikey.com/en/products/detail/qualtek/Q5-2X-3-4-01-QB48IN-5/754962" TargetMode="External"/><Relationship Id="rId10" Type="http://schemas.openxmlformats.org/officeDocument/2006/relationships/hyperlink" Target="https://www.digikey.com/en/products/detail/anderson-power-products-inc/PM16P1620S30/10650436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powerwerx.com/stranded-hookup-wire-300volt-ul1007" TargetMode="External"/><Relationship Id="rId9" Type="http://schemas.openxmlformats.org/officeDocument/2006/relationships/hyperlink" Target="https://www.digikey.com/en/products/detail/anderson-power-products-inc/5952-BK/10650106" TargetMode="External"/><Relationship Id="rId14" Type="http://schemas.openxmlformats.org/officeDocument/2006/relationships/hyperlink" Target="https://www.digikey.com/en/products/detail/techflex/NMN0-50BK100/2524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20"/>
  <sheetViews>
    <sheetView tabSelected="1" zoomScale="85" zoomScaleNormal="85" workbookViewId="0">
      <selection activeCell="A21" sqref="A21"/>
    </sheetView>
  </sheetViews>
  <sheetFormatPr defaultColWidth="8.85546875" defaultRowHeight="15" x14ac:dyDescent="0.25"/>
  <cols>
    <col min="1" max="1" width="22.28515625" customWidth="1"/>
    <col min="2" max="2" width="40.5703125" customWidth="1"/>
    <col min="3" max="3" width="20.7109375" customWidth="1"/>
    <col min="4" max="4" width="15.85546875" bestFit="1" customWidth="1"/>
    <col min="5" max="5" width="13.5703125" bestFit="1" customWidth="1"/>
    <col min="6" max="6" width="18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10</v>
      </c>
      <c r="B1" s="6" t="s">
        <v>11</v>
      </c>
      <c r="C1" s="6" t="s">
        <v>9</v>
      </c>
      <c r="D1" s="6" t="s">
        <v>16</v>
      </c>
      <c r="E1" s="6" t="s">
        <v>0</v>
      </c>
      <c r="F1" s="6" t="s">
        <v>17</v>
      </c>
      <c r="G1" s="6" t="s">
        <v>8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</row>
    <row r="2" spans="1:13" ht="15" customHeight="1" x14ac:dyDescent="0.25">
      <c r="A2" t="s">
        <v>49</v>
      </c>
      <c r="B2" s="2" t="s">
        <v>15</v>
      </c>
      <c r="C2" s="2" t="s">
        <v>12</v>
      </c>
      <c r="D2" s="2">
        <v>2</v>
      </c>
      <c r="E2" s="9">
        <v>2.72</v>
      </c>
      <c r="F2" s="9">
        <f>E2*D2</f>
        <v>5.44</v>
      </c>
      <c r="G2" s="5"/>
      <c r="H2" s="1" t="s">
        <v>18</v>
      </c>
      <c r="J2" s="2"/>
    </row>
    <row r="3" spans="1:13" ht="15" customHeight="1" x14ac:dyDescent="0.25">
      <c r="A3" s="10" t="s">
        <v>23</v>
      </c>
      <c r="B3" s="2" t="s">
        <v>25</v>
      </c>
      <c r="C3" s="2" t="s">
        <v>44</v>
      </c>
      <c r="D3" s="2">
        <v>1</v>
      </c>
      <c r="E3" s="9">
        <v>12.54</v>
      </c>
      <c r="F3" s="9">
        <f t="shared" ref="F3:F8" si="0">E3*D3</f>
        <v>12.54</v>
      </c>
      <c r="G3" s="5"/>
      <c r="H3" s="1" t="s">
        <v>26</v>
      </c>
      <c r="I3" s="1" t="s">
        <v>46</v>
      </c>
    </row>
    <row r="4" spans="1:13" ht="15" customHeight="1" x14ac:dyDescent="0.25">
      <c r="A4" s="10" t="s">
        <v>24</v>
      </c>
      <c r="B4" s="2" t="s">
        <v>25</v>
      </c>
      <c r="C4" s="2" t="s">
        <v>45</v>
      </c>
      <c r="D4" s="2">
        <v>1</v>
      </c>
      <c r="E4" s="9">
        <v>12.54</v>
      </c>
      <c r="F4" s="9">
        <f t="shared" si="0"/>
        <v>12.54</v>
      </c>
      <c r="G4" s="5"/>
      <c r="H4" s="1" t="s">
        <v>26</v>
      </c>
      <c r="I4" s="1" t="s">
        <v>47</v>
      </c>
    </row>
    <row r="5" spans="1:13" ht="15" customHeight="1" x14ac:dyDescent="0.25">
      <c r="A5" s="10" t="s">
        <v>19</v>
      </c>
      <c r="B5" s="2" t="s">
        <v>21</v>
      </c>
      <c r="C5" s="2" t="s">
        <v>20</v>
      </c>
      <c r="D5" s="2">
        <v>1</v>
      </c>
      <c r="E5" s="9">
        <v>128.19</v>
      </c>
      <c r="F5" s="9">
        <f t="shared" si="0"/>
        <v>128.19</v>
      </c>
      <c r="G5" s="5"/>
      <c r="H5" s="1" t="s">
        <v>22</v>
      </c>
      <c r="I5" s="4"/>
    </row>
    <row r="6" spans="1:13" ht="15" customHeight="1" x14ac:dyDescent="0.25">
      <c r="A6" s="10" t="s">
        <v>31</v>
      </c>
      <c r="B6" s="16" t="s">
        <v>29</v>
      </c>
      <c r="C6" s="2" t="s">
        <v>28</v>
      </c>
      <c r="D6" s="2">
        <v>1</v>
      </c>
      <c r="E6" s="9">
        <v>6.15</v>
      </c>
      <c r="F6" s="9">
        <f t="shared" si="0"/>
        <v>6.15</v>
      </c>
      <c r="G6" s="5"/>
      <c r="H6" s="1" t="s">
        <v>27</v>
      </c>
      <c r="I6" s="4"/>
      <c r="J6" s="3"/>
      <c r="K6" s="3"/>
    </row>
    <row r="7" spans="1:13" ht="15" customHeight="1" x14ac:dyDescent="0.25">
      <c r="A7" s="10" t="s">
        <v>30</v>
      </c>
      <c r="B7" s="17" t="s">
        <v>32</v>
      </c>
      <c r="C7" s="2" t="s">
        <v>33</v>
      </c>
      <c r="D7" s="2">
        <v>1</v>
      </c>
      <c r="E7" s="9">
        <v>2.7</v>
      </c>
      <c r="F7" s="9">
        <f t="shared" si="0"/>
        <v>2.7</v>
      </c>
      <c r="G7" s="5"/>
      <c r="H7" s="1" t="s">
        <v>34</v>
      </c>
      <c r="I7" s="3" t="s">
        <v>35</v>
      </c>
    </row>
    <row r="8" spans="1:13" ht="15" customHeight="1" x14ac:dyDescent="0.25">
      <c r="A8" s="10" t="s">
        <v>48</v>
      </c>
      <c r="B8" s="2" t="s">
        <v>36</v>
      </c>
      <c r="C8" s="2" t="s">
        <v>37</v>
      </c>
      <c r="D8" s="2">
        <v>2</v>
      </c>
      <c r="E8" s="9">
        <v>1.6</v>
      </c>
      <c r="F8" s="9">
        <f t="shared" si="0"/>
        <v>3.2</v>
      </c>
      <c r="G8" s="5"/>
      <c r="H8" s="1" t="s">
        <v>38</v>
      </c>
      <c r="I8" s="1" t="s">
        <v>39</v>
      </c>
    </row>
    <row r="9" spans="1:13" ht="15" customHeight="1" x14ac:dyDescent="0.25">
      <c r="A9" s="10" t="s">
        <v>50</v>
      </c>
      <c r="B9" s="2" t="s">
        <v>14</v>
      </c>
      <c r="C9" s="2" t="s">
        <v>13</v>
      </c>
      <c r="D9" s="2">
        <v>2</v>
      </c>
      <c r="E9" s="9">
        <v>2.4</v>
      </c>
      <c r="F9" s="9">
        <f t="shared" ref="F9:F12" si="1">D9*E9</f>
        <v>4.8</v>
      </c>
      <c r="G9" s="5"/>
      <c r="H9" s="1" t="s">
        <v>42</v>
      </c>
      <c r="I9" s="4"/>
    </row>
    <row r="10" spans="1:13" ht="15" customHeight="1" x14ac:dyDescent="0.25">
      <c r="A10" s="10" t="s">
        <v>51</v>
      </c>
      <c r="B10" s="2" t="s">
        <v>41</v>
      </c>
      <c r="C10" s="2" t="s">
        <v>40</v>
      </c>
      <c r="D10" s="2">
        <v>2</v>
      </c>
      <c r="E10" s="9">
        <v>2.4</v>
      </c>
      <c r="F10" s="9">
        <f t="shared" si="1"/>
        <v>4.8</v>
      </c>
      <c r="G10" s="5"/>
      <c r="H10" s="1" t="s">
        <v>43</v>
      </c>
      <c r="I10" s="4"/>
    </row>
    <row r="11" spans="1:13" ht="15" customHeight="1" x14ac:dyDescent="0.25">
      <c r="A11" s="10" t="s">
        <v>54</v>
      </c>
      <c r="B11" s="2" t="s">
        <v>53</v>
      </c>
      <c r="C11" s="4" t="s">
        <v>55</v>
      </c>
      <c r="D11" s="2">
        <v>1</v>
      </c>
      <c r="E11" s="9">
        <v>72.62</v>
      </c>
      <c r="F11" s="9">
        <f t="shared" si="1"/>
        <v>72.62</v>
      </c>
      <c r="G11" s="5"/>
      <c r="H11" s="1" t="s">
        <v>52</v>
      </c>
      <c r="I11" s="4"/>
    </row>
    <row r="12" spans="1:13" ht="15" customHeight="1" x14ac:dyDescent="0.25">
      <c r="A12" s="10" t="s">
        <v>57</v>
      </c>
      <c r="B12" s="2" t="s">
        <v>58</v>
      </c>
      <c r="C12" s="2" t="s">
        <v>59</v>
      </c>
      <c r="D12" s="2">
        <v>1</v>
      </c>
      <c r="E12" s="9">
        <v>6.22</v>
      </c>
      <c r="F12" s="9">
        <f t="shared" si="1"/>
        <v>6.22</v>
      </c>
      <c r="G12" s="5"/>
      <c r="H12" s="1" t="s">
        <v>56</v>
      </c>
      <c r="I12" s="4"/>
    </row>
    <row r="13" spans="1:13" ht="15" customHeight="1" x14ac:dyDescent="0.25">
      <c r="A13" s="10" t="s">
        <v>60</v>
      </c>
      <c r="B13" s="2" t="s">
        <v>61</v>
      </c>
      <c r="C13" s="2" t="s">
        <v>62</v>
      </c>
      <c r="D13" s="2">
        <v>1</v>
      </c>
      <c r="E13" s="8">
        <v>2.72</v>
      </c>
      <c r="F13" s="9">
        <v>2.72</v>
      </c>
      <c r="G13" s="5"/>
      <c r="H13" s="3" t="s">
        <v>63</v>
      </c>
      <c r="I13" s="4"/>
    </row>
    <row r="14" spans="1:13" ht="15" customHeight="1" x14ac:dyDescent="0.25">
      <c r="A14" s="10" t="s">
        <v>67</v>
      </c>
      <c r="B14" s="2" t="s">
        <v>64</v>
      </c>
      <c r="C14" s="4" t="s">
        <v>65</v>
      </c>
      <c r="D14" s="2">
        <v>2</v>
      </c>
      <c r="E14" s="9">
        <v>1.97</v>
      </c>
      <c r="F14" s="9">
        <v>3.94</v>
      </c>
      <c r="G14" s="5"/>
      <c r="H14" s="1" t="s">
        <v>66</v>
      </c>
      <c r="I14" s="4"/>
    </row>
    <row r="15" spans="1:13" ht="15" customHeight="1" x14ac:dyDescent="0.25">
      <c r="A15" s="10" t="s">
        <v>75</v>
      </c>
      <c r="B15" s="2" t="s">
        <v>68</v>
      </c>
      <c r="C15" s="2" t="s">
        <v>69</v>
      </c>
      <c r="D15" s="2">
        <v>2</v>
      </c>
      <c r="E15" s="8">
        <v>0.37</v>
      </c>
      <c r="F15" s="9">
        <v>0.74</v>
      </c>
      <c r="G15" s="5"/>
      <c r="H15" s="3" t="s">
        <v>70</v>
      </c>
      <c r="I15" s="4"/>
    </row>
    <row r="16" spans="1:13" ht="15" customHeight="1" x14ac:dyDescent="0.25">
      <c r="A16" s="10" t="s">
        <v>76</v>
      </c>
      <c r="B16" s="11" t="s">
        <v>77</v>
      </c>
      <c r="C16" s="11" t="s">
        <v>78</v>
      </c>
      <c r="D16" s="12">
        <v>1</v>
      </c>
      <c r="E16" s="13">
        <v>0.11</v>
      </c>
      <c r="F16" s="9">
        <v>0.11</v>
      </c>
      <c r="G16" s="11"/>
      <c r="H16" s="19" t="s">
        <v>79</v>
      </c>
      <c r="I16" s="11"/>
      <c r="J16" s="11"/>
    </row>
    <row r="17" spans="1:10" ht="15" customHeight="1" x14ac:dyDescent="0.25">
      <c r="A17" s="18" t="s">
        <v>71</v>
      </c>
      <c r="B17" s="11" t="s">
        <v>72</v>
      </c>
      <c r="C17" s="11" t="s">
        <v>73</v>
      </c>
      <c r="D17" s="12">
        <v>4</v>
      </c>
      <c r="E17" s="13">
        <v>0.04</v>
      </c>
      <c r="F17" s="9">
        <v>0.16</v>
      </c>
      <c r="G17" s="11"/>
      <c r="H17" s="19" t="s">
        <v>74</v>
      </c>
      <c r="I17" s="11"/>
      <c r="J17" s="11"/>
    </row>
    <row r="18" spans="1:10" ht="15" customHeight="1" x14ac:dyDescent="0.25">
      <c r="A18" s="4"/>
      <c r="B18" s="4"/>
      <c r="C18" s="14"/>
      <c r="D18" s="14"/>
      <c r="E18" s="15"/>
      <c r="F18" s="15"/>
      <c r="G18" s="4"/>
      <c r="H18" s="4"/>
    </row>
    <row r="19" spans="1:10" x14ac:dyDescent="0.25">
      <c r="E19" s="8"/>
      <c r="F19" s="8"/>
    </row>
    <row r="20" spans="1:10" x14ac:dyDescent="0.25">
      <c r="E20" s="7" t="s">
        <v>7</v>
      </c>
      <c r="F20" s="5">
        <f>SUM(F2:F19)</f>
        <v>266.87000000000012</v>
      </c>
    </row>
  </sheetData>
  <phoneticPr fontId="3" type="noConversion"/>
  <hyperlinks>
    <hyperlink ref="H5" r:id="rId1" xr:uid="{69C23E45-29AA-47FB-BE9B-2AE614B77C83}"/>
    <hyperlink ref="H2" r:id="rId2" xr:uid="{F39CA3E8-0E7F-4D14-B47D-FB9B637BEFBF}"/>
    <hyperlink ref="H3" r:id="rId3" xr:uid="{10C95AC9-075E-42F1-9F35-5641E1334E99}"/>
    <hyperlink ref="H4" r:id="rId4" xr:uid="{75AF6812-83F6-4049-924E-6E150C43BB6C}"/>
    <hyperlink ref="H6" r:id="rId5" xr:uid="{B34F6116-3904-4136-83DC-1ED778E50D3C}"/>
    <hyperlink ref="H7" r:id="rId6" xr:uid="{B02DF44A-64A3-4336-9521-7C1BF7815FC7}"/>
    <hyperlink ref="I7" r:id="rId7" xr:uid="{FC0578EF-6508-471D-AB78-9D92C7FAA50C}"/>
    <hyperlink ref="H8" r:id="rId8" xr:uid="{3A862F72-0E52-4D1A-A2F5-B68014FB9B35}"/>
    <hyperlink ref="I8" r:id="rId9" xr:uid="{BAFD0688-FE09-4860-9F7C-D27085C402A0}"/>
    <hyperlink ref="H9" r:id="rId10" xr:uid="{CB356497-2003-425A-B8A7-BE51B9B913EE}"/>
    <hyperlink ref="H10" r:id="rId11" xr:uid="{21C1BAB4-A1A3-4E88-8334-DF28738598D1}"/>
    <hyperlink ref="I3" r:id="rId12" xr:uid="{2F4C748B-C31C-4C18-98A1-F896819BEDE6}"/>
    <hyperlink ref="I4" r:id="rId13" xr:uid="{6767DCFE-C4EA-4F98-917F-25EE5BC81B62}"/>
    <hyperlink ref="H11" r:id="rId14" xr:uid="{7788AAC0-3264-469D-9FE8-88ABE62A1188}"/>
    <hyperlink ref="H12" r:id="rId15" xr:uid="{1563652D-3B5B-4137-B0DA-8740E4BAA28B}"/>
    <hyperlink ref="H13" r:id="rId16" xr:uid="{F2E7CC8F-238C-4247-B8F0-EE48259CB0DF}"/>
    <hyperlink ref="H14" r:id="rId17" xr:uid="{7CB04A90-A0AB-42C8-9E7C-D25B0500F1ED}"/>
    <hyperlink ref="H17" r:id="rId18" xr:uid="{9716C910-2B10-4623-8055-2C5370BB167F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Lacey Bryant</cp:lastModifiedBy>
  <cp:lastPrinted>2025-05-01T19:35:57Z</cp:lastPrinted>
  <dcterms:created xsi:type="dcterms:W3CDTF">2025-03-06T14:44:50Z</dcterms:created>
  <dcterms:modified xsi:type="dcterms:W3CDTF">2026-08-12T19:53:13Z</dcterms:modified>
</cp:coreProperties>
</file>