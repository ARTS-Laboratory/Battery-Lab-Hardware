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2/"/>
    </mc:Choice>
  </mc:AlternateContent>
  <xr:revisionPtr revIDLastSave="69" documentId="13_ncr:1_{8D074E32-F380-4A8B-BFB4-C9C0509B5722}" xr6:coauthVersionLast="47" xr6:coauthVersionMax="47" xr10:uidLastSave="{18097E97-C9CB-4E42-AFA4-DABC874BB7BA}"/>
  <bookViews>
    <workbookView xWindow="390" yWindow="390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3" i="1"/>
  <c r="F4" i="1"/>
  <c r="F5" i="1"/>
  <c r="F2" i="1"/>
  <c r="F20" i="1" l="1"/>
</calcChain>
</file>

<file path=xl/sharedStrings.xml><?xml version="1.0" encoding="utf-8"?>
<sst xmlns="http://schemas.openxmlformats.org/spreadsheetml/2006/main" count="74" uniqueCount="72">
  <si>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</si>
  <si>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</si>
  <si>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</si>
  <si>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</si>
  <si>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</si>
  <si>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</si>
  <si>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</si>
  <si>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</si>
  <si>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</si>
  <si>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</si>
  <si>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</si>
  <si>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</si>
  <si>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</si>
  <si>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</si>
  <si>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</si>
  <si>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</si>
  <si>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</si>
  <si>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</si>
  <si>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</si>
  <si>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</si>
  <si>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</si>
  <si>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</si>
  <si>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</si>
  <si>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</si>
  <si>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</si>
  <si>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</si>
  <si>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</si>
  <si>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</si>
  <si>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</si>
  <si>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</si>
  <si>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SB50 connector</t>
  </si>
  <si>
    <t>SBS 75 connector</t>
  </si>
  <si>
    <t>SB50 SB Series Loose Piece Colored Housing</t>
  </si>
  <si>
    <t>992-BK</t>
  </si>
  <si>
    <t>https://powerwerx.com/992-bk-anderson-power-gray</t>
  </si>
  <si>
    <t>https://www.digikey.com/en/products/detail/anderson-power-products-inc/992-BK/10650284</t>
  </si>
  <si>
    <t>SB50/PP75 SB Series Powerpole Loose Piece Contact</t>
  </si>
  <si>
    <t>5952-BK</t>
  </si>
  <si>
    <t>https://powerwerx.com/5952-bk-anderson-power-8awg</t>
  </si>
  <si>
    <t>https://www.digikey.com/en/products/detail/anderson-power-products-inc/5952-BK/10650106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</si>
  <si>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</si>
  <si>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</si>
  <si>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</si>
  <si>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</si>
  <si>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</si>
  <si>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</si>
  <si>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</si>
  <si>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</si>
  <si>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SB50 main contact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</si>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</sst>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9"/>
      <color rgb="FF444444"/>
      <name val="Arial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2" applyFont="1" applyAlignment="1">
      <alignment vertical="top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werwerx.com/5952-bk-anderson-power-8awg" TargetMode="External"/><Relationship Id="rId13" Type="http://schemas.openxmlformats.org/officeDocument/2006/relationships/hyperlink" Target="https://www.digikey.com/en/products/detail/remington-industries/16UL1007STRRED/11613259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992-BK/10650284" TargetMode="External"/><Relationship Id="rId12" Type="http://schemas.openxmlformats.org/officeDocument/2006/relationships/hyperlink" Target="https://www.digikey.com/en/products/detail/remington-industries/16UL1007STRBLA/11613043" TargetMode="External"/><Relationship Id="rId17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2" Type="http://schemas.openxmlformats.org/officeDocument/2006/relationships/hyperlink" Target="https://www.digikey.com/en/products/detail/anderson-power-products-inc/1339G5-BK/10650046" TargetMode="External"/><Relationship Id="rId16" Type="http://schemas.openxmlformats.org/officeDocument/2006/relationships/hyperlink" Target="https://www.digikey.com/en/products/detail/anderson-power-products-inc/113899P1/10647423?s=N4IgTCBcDaIIxwMwA4CcqAKcQF0C%2BQA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powerwerx.com/992-bk-anderson-power-gray" TargetMode="External"/><Relationship Id="rId11" Type="http://schemas.openxmlformats.org/officeDocument/2006/relationships/hyperlink" Target="https://www.digikey.com/en/products/detail/anderson-power-products-inc/PM16S1620S32/10650063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hyperlink" Target="https://www.digikey.com/en/products/detail/qualtek/Q5-2X-3-4-01-QB48IN-5/754962" TargetMode="External"/><Relationship Id="rId10" Type="http://schemas.openxmlformats.org/officeDocument/2006/relationships/hyperlink" Target="https://www.digikey.com/en/products/detail/anderson-power-products-inc/PM16P1620S30/10650436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anderson-power-products-inc/5952-BK/10650106" TargetMode="External"/><Relationship Id="rId14" Type="http://schemas.openxmlformats.org/officeDocument/2006/relationships/hyperlink" Target="https://www.digikey.com/en/products/detail/techflex/NMN0-50BK100/25245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85" zoomScaleNormal="85" workbookViewId="0">
      <selection activeCell="A14" sqref="A14"/>
    </sheetView>
  </sheetViews>
  <sheetFormatPr defaultColWidth="8.85546875" defaultRowHeight="15" x14ac:dyDescent="0.25"/>
  <cols>
    <col min="1" max="1" width="22.28515625" customWidth="1"/>
    <col min="2" max="2" width="40.570312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49</v>
      </c>
      <c r="B2" s="2" t="s">
        <v>15</v>
      </c>
      <c r="C2" s="2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2" t="s">
        <v>44</v>
      </c>
      <c r="D3" s="2">
        <v>1</v>
      </c>
      <c r="E3" s="9">
        <v>12.54</v>
      </c>
      <c r="F3" s="9">
        <f t="shared" ref="F3:F8" si="0">E3*D3</f>
        <v>12.54</v>
      </c>
      <c r="G3" s="5"/>
      <c r="H3" s="1" t="s">
        <v>26</v>
      </c>
      <c r="I3" s="1" t="s">
        <v>46</v>
      </c>
    </row>
    <row r="4" spans="1:13" ht="15" customHeight="1" x14ac:dyDescent="0.25">
      <c r="A4" s="10" t="s">
        <v>24</v>
      </c>
      <c r="B4" s="2" t="s">
        <v>25</v>
      </c>
      <c r="C4" s="2" t="s">
        <v>45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47</v>
      </c>
    </row>
    <row r="5" spans="1:13" ht="15" customHeight="1" x14ac:dyDescent="0.25">
      <c r="A5" s="10" t="s">
        <v>19</v>
      </c>
      <c r="B5" s="2" t="s">
        <v>21</v>
      </c>
      <c r="C5" s="2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31</v>
      </c>
      <c r="B6" s="16" t="s">
        <v>29</v>
      </c>
      <c r="C6" s="2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30</v>
      </c>
      <c r="B7" s="17" t="s">
        <v>32</v>
      </c>
      <c r="C7" s="2" t="s">
        <v>33</v>
      </c>
      <c r="D7" s="2">
        <v>1</v>
      </c>
      <c r="E7" s="9">
        <v>2.7</v>
      </c>
      <c r="F7" s="9">
        <f t="shared" si="0"/>
        <v>2.7</v>
      </c>
      <c r="G7" s="5"/>
      <c r="H7" s="1" t="s">
        <v>34</v>
      </c>
      <c r="I7" s="3" t="s">
        <v>35</v>
      </c>
    </row>
    <row r="8" spans="1:13" ht="15" customHeight="1" x14ac:dyDescent="0.25">
      <c r="A8" s="10" t="s">
        <v>48</v>
      </c>
      <c r="B8" s="2" t="s">
        <v>36</v>
      </c>
      <c r="C8" s="2" t="s">
        <v>37</v>
      </c>
      <c r="D8" s="2">
        <v>2</v>
      </c>
      <c r="E8" s="9">
        <v>1.6</v>
      </c>
      <c r="F8" s="9">
        <f t="shared" si="0"/>
        <v>3.2</v>
      </c>
      <c r="G8" s="5"/>
      <c r="H8" s="1" t="s">
        <v>38</v>
      </c>
      <c r="I8" s="1" t="s">
        <v>39</v>
      </c>
    </row>
    <row r="9" spans="1:13" ht="15" customHeight="1" x14ac:dyDescent="0.25">
      <c r="A9" s="10" t="s">
        <v>50</v>
      </c>
      <c r="B9" s="2" t="s">
        <v>14</v>
      </c>
      <c r="C9" s="2" t="s">
        <v>13</v>
      </c>
      <c r="D9" s="2">
        <v>2</v>
      </c>
      <c r="E9" s="9">
        <v>2.4</v>
      </c>
      <c r="F9" s="9">
        <f t="shared" ref="F9:F12" si="1">D9*E9</f>
        <v>4.8</v>
      </c>
      <c r="G9" s="5"/>
      <c r="H9" s="1" t="s">
        <v>42</v>
      </c>
      <c r="I9" s="4"/>
    </row>
    <row r="10" spans="1:13" ht="15" customHeight="1" x14ac:dyDescent="0.25">
      <c r="A10" s="10" t="s">
        <v>51</v>
      </c>
      <c r="B10" s="2" t="s">
        <v>41</v>
      </c>
      <c r="C10" s="2" t="s">
        <v>40</v>
      </c>
      <c r="D10" s="2">
        <v>2</v>
      </c>
      <c r="E10" s="9">
        <v>2.4</v>
      </c>
      <c r="F10" s="9">
        <f t="shared" si="1"/>
        <v>4.8</v>
      </c>
      <c r="G10" s="5"/>
      <c r="H10" s="1" t="s">
        <v>43</v>
      </c>
      <c r="I10" s="4"/>
    </row>
    <row r="11" spans="1:13" ht="15" customHeight="1" x14ac:dyDescent="0.25">
      <c r="A11" s="10" t="s">
        <v>54</v>
      </c>
      <c r="B11" s="2" t="s">
        <v>53</v>
      </c>
      <c r="C11" s="4" t="s">
        <v>55</v>
      </c>
      <c r="D11" s="2">
        <v>1</v>
      </c>
      <c r="E11" s="9">
        <v>72.62</v>
      </c>
      <c r="F11" s="9">
        <f t="shared" si="1"/>
        <v>72.62</v>
      </c>
      <c r="G11" s="5"/>
      <c r="H11" s="1" t="s">
        <v>52</v>
      </c>
      <c r="I11" s="4"/>
    </row>
    <row r="12" spans="1:13" ht="15" customHeight="1" x14ac:dyDescent="0.25">
      <c r="A12" s="10" t="s">
        <v>57</v>
      </c>
      <c r="B12" s="2" t="s">
        <v>58</v>
      </c>
      <c r="C12" s="2" t="s">
        <v>59</v>
      </c>
      <c r="D12" s="2">
        <v>1</v>
      </c>
      <c r="E12" s="9">
        <v>6.22</v>
      </c>
      <c r="F12" s="9">
        <f t="shared" si="1"/>
        <v>6.22</v>
      </c>
      <c r="G12" s="5"/>
      <c r="H12" s="1" t="s">
        <v>56</v>
      </c>
      <c r="I12" s="4"/>
    </row>
    <row r="13" spans="1:13" ht="15" customHeight="1" x14ac:dyDescent="0.25">
      <c r="A13" s="10" t="s">
        <v>60</v>
      </c>
      <c r="B13" s="2" t="s">
        <v>61</v>
      </c>
      <c r="C13" s="2" t="s">
        <v>62</v>
      </c>
      <c r="D13" s="2">
        <v>1</v>
      </c>
      <c r="E13" s="8">
        <v>2.72</v>
      </c>
      <c r="F13" s="9">
        <v>2.72</v>
      </c>
      <c r="G13" s="5"/>
      <c r="H13" s="3" t="s">
        <v>63</v>
      </c>
      <c r="I13" s="4"/>
    </row>
    <row r="14" spans="1:13" ht="15" customHeight="1" x14ac:dyDescent="0.25">
      <c r="A14" s="10" t="s">
        <v>71</v>
      </c>
      <c r="B14" s="2" t="s">
        <v>64</v>
      </c>
      <c r="C14" s="2" t="s">
        <v>65</v>
      </c>
      <c r="D14" s="2">
        <v>4</v>
      </c>
      <c r="E14" s="8">
        <v>0.37</v>
      </c>
      <c r="F14" s="9">
        <v>1.48</v>
      </c>
      <c r="G14" s="5"/>
      <c r="H14" s="3" t="s">
        <v>66</v>
      </c>
      <c r="I14" s="4"/>
    </row>
    <row r="15" spans="1:13" ht="15" customHeight="1" x14ac:dyDescent="0.25">
      <c r="A15" s="18" t="s">
        <v>67</v>
      </c>
      <c r="B15" s="11" t="s">
        <v>68</v>
      </c>
      <c r="C15" s="11" t="s">
        <v>69</v>
      </c>
      <c r="D15" s="12">
        <v>4</v>
      </c>
      <c r="E15" s="13">
        <v>0.04</v>
      </c>
      <c r="F15" s="9">
        <v>0.16</v>
      </c>
      <c r="G15" s="11"/>
      <c r="H15" s="19" t="s">
        <v>70</v>
      </c>
      <c r="I15" s="4"/>
    </row>
    <row r="16" spans="1:13" ht="15" customHeight="1" x14ac:dyDescent="0.25">
      <c r="A16" s="18"/>
      <c r="B16" s="11"/>
      <c r="C16" s="11"/>
      <c r="D16" s="12"/>
      <c r="E16" s="13"/>
      <c r="F16" s="9"/>
      <c r="G16" s="11"/>
      <c r="H16" s="19"/>
      <c r="I16" s="11"/>
      <c r="J16" s="11"/>
    </row>
    <row r="17" spans="1:10" ht="15" customHeight="1" x14ac:dyDescent="0.25">
      <c r="A17" s="18"/>
      <c r="B17" s="11"/>
      <c r="C17" s="11"/>
      <c r="D17" s="12"/>
      <c r="E17" s="13"/>
      <c r="F17" s="9"/>
      <c r="G17" s="11"/>
      <c r="H17" s="19"/>
      <c r="I17" s="11"/>
      <c r="J17" s="11"/>
    </row>
    <row r="18" spans="1:10" ht="15" customHeight="1" x14ac:dyDescent="0.25">
      <c r="A18" s="4"/>
      <c r="B18" s="4"/>
      <c r="C18" s="14"/>
      <c r="D18" s="14"/>
      <c r="E18" s="15"/>
      <c r="F18" s="15"/>
      <c r="G18" s="4"/>
      <c r="H18" s="4"/>
    </row>
    <row r="19" spans="1:10" x14ac:dyDescent="0.25">
      <c r="E19" s="8"/>
      <c r="F19" s="8"/>
    </row>
    <row r="20" spans="1:10" x14ac:dyDescent="0.25">
      <c r="E20" s="7" t="s">
        <v>7</v>
      </c>
      <c r="F20" s="5">
        <f>SUM(F2:F19)</f>
        <v>263.56000000000012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B02DF44A-64A3-4336-9521-7C1BF7815FC7}"/>
    <hyperlink ref="I7" r:id="rId7" xr:uid="{FC0578EF-6508-471D-AB78-9D92C7FAA50C}"/>
    <hyperlink ref="H8" r:id="rId8" xr:uid="{3A862F72-0E52-4D1A-A2F5-B68014FB9B35}"/>
    <hyperlink ref="I8" r:id="rId9" xr:uid="{BAFD0688-FE09-4860-9F7C-D27085C402A0}"/>
    <hyperlink ref="H9" r:id="rId10" xr:uid="{CB356497-2003-425A-B8A7-BE51B9B913EE}"/>
    <hyperlink ref="H10" r:id="rId11" xr:uid="{21C1BAB4-A1A3-4E88-8334-DF28738598D1}"/>
    <hyperlink ref="I3" r:id="rId12" xr:uid="{2F4C748B-C31C-4C18-98A1-F896819BEDE6}"/>
    <hyperlink ref="I4" r:id="rId13" xr:uid="{6767DCFE-C4EA-4F98-917F-25EE5BC81B62}"/>
    <hyperlink ref="H11" r:id="rId14" xr:uid="{7788AAC0-3264-469D-9FE8-88ABE62A1188}"/>
    <hyperlink ref="H12" r:id="rId15" xr:uid="{1563652D-3B5B-4137-B0DA-8740E4BAA28B}"/>
    <hyperlink ref="H13" r:id="rId16" xr:uid="{F2E7CC8F-238C-4247-B8F0-EE48259CB0DF}"/>
    <hyperlink ref="H15" r:id="rId17" xr:uid="{22EA5B08-E3BF-44B7-9BC4-A52144A8B4E8}"/>
  </hyperlinks>
  <pageMargins left="0.7" right="0.7" top="0.75" bottom="0.75" header="0.3" footer="0.3"/>
  <pageSetup orientation="portrait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2026-08-13T20:46:29Z</dcterms:modified>
</cp:coreProperties>
</file>