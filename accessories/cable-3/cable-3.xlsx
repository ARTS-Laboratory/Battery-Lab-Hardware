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owney2\Documents\GitHub\Battery-Lab-Hardware\accessories\cable-3\"/>
    </mc:Choice>
  </mc:AlternateContent>
  <xr:revisionPtr revIDLastSave="0" documentId="13_ncr:1_{AEC0E5C9-3688-4E2B-A389-D92920A00343}" xr6:coauthVersionLast="47" xr6:coauthVersionMax="47" xr10:uidLastSave="{00000000-0000-0000-0000-000000000000}"/>
  <bookViews>
    <workbookView xWindow="-16320" yWindow="-6540" windowWidth="16440" windowHeight="28320" xr2:uid="{FDAE7DA4-9528-4FC7-A320-70DA50473DCE}"/>
  </bookViews>
  <sheets>
    <sheet name="bill_of_materia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2" i="1"/>
  <c r="F20" i="1" l="1"/>
</calcChain>
</file>

<file path=xl/sharedStrings.xml><?xml version="1.0" encoding="utf-8"?>
<sst xmlns="http://schemas.openxmlformats.org/spreadsheetml/2006/main" count="34" uniqueCount="34">
  <si>
    <t>Individual Cost</t>
  </si>
  <si>
    <t>Vendor 1</t>
  </si>
  <si>
    <t>Vendor 2</t>
  </si>
  <si>
    <t>Vendor 3</t>
  </si>
  <si>
    <t>Vendor 4</t>
  </si>
  <si>
    <t>Vendor 5</t>
  </si>
  <si>
    <t>Vendor 6</t>
  </si>
  <si>
    <t>Total</t>
  </si>
  <si>
    <t>Notes</t>
  </si>
  <si>
    <t>MFR Part Number</t>
  </si>
  <si>
    <t>Internal Part Name</t>
  </si>
  <si>
    <t>MFR / Vendor Description</t>
  </si>
  <si>
    <t>Amount Per Cable</t>
  </si>
  <si>
    <t>Total Cost (Per Cable)</t>
  </si>
  <si>
    <t>https://www.digikey.com/en/products/detail/anderson-power-products-inc/320-1150/10650211</t>
  </si>
  <si>
    <t>https://www.grainger.com/product/BURNDY-Wire-Connector-For-Wire-Size-22C212?opr=ILOF</t>
  </si>
  <si>
    <t>https://www.digikey.com/en/products/detail/anderson-power-products-inc/E32500-0009/14551095?utm_source=oemsecrets&amp;utm_medium=aggregator&amp;utm_campaign=buynow</t>
  </si>
  <si>
    <t>https://www.digikey.com/en/products/detail/anderson-power-products-inc/A320HL-MK/14552019?utm_source=oemsecrets&amp;utm_medium=aggregator&amp;utm_campaign=buynow</t>
  </si>
  <si>
    <t>https://www.grainger.com/product/TECHFLEX-Braided-Sleeving-2-in-Inside-2RMA8?RIID=51819294775&amp;GID=729415832&amp;mid=OrderConfirmation_REST&amp;rfe=a32cecf121cb6dea4e68db53c937337aef1c1ab9d4258356f750e6199a7c3fa2&amp;gucid=EMT:11126144:Item:CSM-323&amp;emcid=NA:Item</t>
  </si>
  <si>
    <t>EBC 320-2 Term Blade Female</t>
  </si>
  <si>
    <t>Wire connector block</t>
  </si>
  <si>
    <t>E32500-0009 (Connector)</t>
  </si>
  <si>
    <t>A320H (Connector handle)</t>
  </si>
  <si>
    <t>Braided Sleeving 2 in and 2.5 expandable</t>
  </si>
  <si>
    <t>TERM BLADE FEMALE 1/0AWG SILVER</t>
  </si>
  <si>
    <t>E32500-0009</t>
  </si>
  <si>
    <t>A320HL-MK</t>
  </si>
  <si>
    <t>AMS0</t>
  </si>
  <si>
    <t>320-1150</t>
  </si>
  <si>
    <t>BURNDY Mechanical Connector: For Wire Size 14 AWG – 1/0 AWG, 2 Wire Terminations</t>
  </si>
  <si>
    <t>CONN RCPT HSG 2POS</t>
  </si>
  <si>
    <t>DIN LATCH HANDLE/LEVER/ HDW</t>
  </si>
  <si>
    <t>Braided Sleeving: 2 in Inside Dia, Expandable, For 2.5 in Max Bundle Dia, 60 in Lg, Nylon, Black</t>
  </si>
  <si>
    <t>NHN2.00BK5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</si>
</sst>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$&quot;#,##0.00_);\(&quot;$&quot;#,##0.00\)"/>
    <numFmt numFmtId="8" formatCode="&quot;$&quot;#,##0.00_);[Red]\(&quot;$&quot;#,##0.00\)"/>
    <numFmt numFmtId="164" formatCode="&quot;$&quot;#,##0.00"/>
    <numFmt numFmtId="165" formatCode="\$#,##0.00"/>
  </numFmts>
  <fonts count="9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</font>
    <font>
      <sz val="11"/>
      <color theme="10"/>
      <name val="Aptos Narrow"/>
    </font>
    <font>
      <sz val="9"/>
      <color rgb="FF444444"/>
      <name val="Arial"/>
      <family val="2"/>
    </font>
    <font>
      <sz val="11"/>
      <color rgb="FF467886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4" fillId="0" borderId="0"/>
    <xf numFmtId="0" fontId="5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1"/>
    <xf numFmtId="0" fontId="0" fillId="0" borderId="0" xfId="0" applyAlignment="1">
      <alignment vertical="center"/>
    </xf>
    <xf numFmtId="0" fontId="1" fillId="0" borderId="0" xfId="1" applyAlignment="1">
      <alignment vertical="center" wrapText="1"/>
    </xf>
    <xf numFmtId="0" fontId="0" fillId="0" borderId="0" xfId="0" applyAlignment="1">
      <alignment vertical="center" wrapText="1"/>
    </xf>
    <xf numFmtId="7" fontId="0" fillId="0" borderId="0" xfId="0" applyNumberFormat="1" applyAlignment="1">
      <alignment vertical="center"/>
    </xf>
    <xf numFmtId="0" fontId="2" fillId="0" borderId="1" xfId="0" applyFont="1" applyBorder="1" applyAlignment="1">
      <alignment vertical="center"/>
    </xf>
    <xf numFmtId="7" fontId="2" fillId="0" borderId="0" xfId="0" applyNumberFormat="1" applyFont="1" applyAlignment="1">
      <alignment horizontal="right" vertical="center"/>
    </xf>
    <xf numFmtId="164" fontId="0" fillId="0" borderId="0" xfId="0" applyNumberFormat="1"/>
    <xf numFmtId="164" fontId="0" fillId="0" borderId="0" xfId="0" applyNumberFormat="1" applyAlignment="1">
      <alignment vertical="center"/>
    </xf>
    <xf numFmtId="0" fontId="0" fillId="0" borderId="0" xfId="0" applyAlignment="1">
      <alignment horizontal="left"/>
    </xf>
    <xf numFmtId="0" fontId="4" fillId="0" borderId="0" xfId="2" applyAlignment="1">
      <alignment vertical="top"/>
    </xf>
    <xf numFmtId="1" fontId="4" fillId="0" borderId="0" xfId="2" applyNumberFormat="1" applyAlignment="1">
      <alignment vertical="top"/>
    </xf>
    <xf numFmtId="165" fontId="4" fillId="0" borderId="0" xfId="2" applyNumberFormat="1" applyAlignment="1">
      <alignment vertical="top"/>
    </xf>
    <xf numFmtId="0" fontId="0" fillId="0" borderId="0" xfId="0" applyAlignment="1">
      <alignment horizontal="right" vertical="center" wrapText="1"/>
    </xf>
    <xf numFmtId="8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</cellXfs>
  <cellStyles count="4">
    <cellStyle name="Hyperlink" xfId="1" builtinId="8"/>
    <cellStyle name="Hyperlink 2" xfId="3" xr:uid="{47B38DBD-1F5B-4A8C-867A-C157945EC6DB}"/>
    <cellStyle name="Normal" xfId="0" builtinId="0"/>
    <cellStyle name="Normal 2" xfId="2" xr:uid="{9123710A-AD88-4C64-B627-92812002B3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igikey.com/en/products/detail/anderson-power-products-inc/A320HL-MK/14552019?utm_source=oemsecrets&amp;utm_medium=aggregator&amp;utm_campaign=buynow" TargetMode="External"/><Relationship Id="rId2" Type="http://schemas.openxmlformats.org/officeDocument/2006/relationships/hyperlink" Target="https://www.digikey.com/en/products/detail/anderson-power-products-inc/E32500-0009/14551095?utm_source=oemsecrets&amp;utm_medium=aggregator&amp;utm_campaign=buynow" TargetMode="External"/><Relationship Id="rId1" Type="http://schemas.openxmlformats.org/officeDocument/2006/relationships/hyperlink" Target="https://www.digikey.com/en/products/detail/anderson-power-products-inc/320-1150/10650211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grainger.com/product/TECHFLEX-Braided-Sleeving-2-in-Inside-2RMA8?RIID=51819294775&amp;GID=729415832&amp;mid=OrderConfirmation_REST&amp;rfe=a32cecf121cb6dea4e68db53c937337aef1c1ab9d4258356f750e6199a7c3fa2&amp;gucid=EMT:11126144:Item:CSM-323&amp;emcid=NA:Ite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3A36C-E8CE-4E50-A172-E48E2F9A45A8}">
  <dimension ref="A1:M20"/>
  <sheetViews>
    <sheetView tabSelected="1" zoomScale="85" zoomScaleNormal="85" workbookViewId="0">
      <selection activeCell="C14" sqref="C14"/>
    </sheetView>
  </sheetViews>
  <sheetFormatPr defaultColWidth="8.85546875" defaultRowHeight="15" x14ac:dyDescent="0.25"/>
  <cols>
    <col min="1" max="1" width="22.28515625" customWidth="1"/>
    <col min="2" max="2" width="37.85546875" customWidth="1"/>
    <col min="3" max="3" width="20.7109375" customWidth="1"/>
    <col min="4" max="4" width="15.85546875" bestFit="1" customWidth="1"/>
    <col min="5" max="5" width="13.5703125" bestFit="1" customWidth="1"/>
    <col min="6" max="6" width="18" customWidth="1"/>
    <col min="7" max="7" width="13" customWidth="1"/>
    <col min="8" max="8" width="79" bestFit="1" customWidth="1"/>
    <col min="9" max="9" width="45.5703125" bestFit="1" customWidth="1"/>
    <col min="10" max="10" width="83.5703125" customWidth="1"/>
    <col min="11" max="11" width="62.5703125" customWidth="1"/>
    <col min="12" max="12" width="55.85546875" customWidth="1"/>
    <col min="13" max="13" width="51" customWidth="1"/>
  </cols>
  <sheetData>
    <row r="1" spans="1:13" ht="15" customHeight="1" x14ac:dyDescent="0.25">
      <c r="A1" s="6" t="s">
        <v>10</v>
      </c>
      <c r="B1" s="6" t="s">
        <v>11</v>
      </c>
      <c r="C1" s="6" t="s">
        <v>9</v>
      </c>
      <c r="D1" s="6" t="s">
        <v>12</v>
      </c>
      <c r="E1" s="6" t="s">
        <v>0</v>
      </c>
      <c r="F1" s="6" t="s">
        <v>13</v>
      </c>
      <c r="G1" s="6" t="s">
        <v>8</v>
      </c>
      <c r="H1" s="6" t="s">
        <v>1</v>
      </c>
      <c r="I1" s="6" t="s">
        <v>2</v>
      </c>
      <c r="J1" s="6" t="s">
        <v>3</v>
      </c>
      <c r="K1" s="6" t="s">
        <v>4</v>
      </c>
      <c r="L1" s="6" t="s">
        <v>5</v>
      </c>
      <c r="M1" s="6" t="s">
        <v>6</v>
      </c>
    </row>
    <row r="2" spans="1:13" ht="15" customHeight="1" x14ac:dyDescent="0.25">
      <c r="A2" s="19" t="s">
        <v>19</v>
      </c>
      <c r="B2" s="2" t="s">
        <v>24</v>
      </c>
      <c r="C2" s="4" t="s">
        <v>28</v>
      </c>
      <c r="D2" s="21">
        <v>2</v>
      </c>
      <c r="E2" s="9">
        <v>30.75</v>
      </c>
      <c r="F2" s="9">
        <f>D2*E2</f>
        <v>61.5</v>
      </c>
      <c r="G2" s="5"/>
      <c r="H2" s="1" t="s">
        <v>14</v>
      </c>
      <c r="J2" s="2"/>
    </row>
    <row r="3" spans="1:13" ht="15" customHeight="1" x14ac:dyDescent="0.25">
      <c r="A3" s="20" t="s">
        <v>20</v>
      </c>
      <c r="B3" s="2" t="s">
        <v>29</v>
      </c>
      <c r="C3" s="2" t="s">
        <v>27</v>
      </c>
      <c r="D3" s="21">
        <v>2</v>
      </c>
      <c r="E3" s="9">
        <v>17.260000000000002</v>
      </c>
      <c r="F3" s="9">
        <f t="shared" ref="F3:F12" si="0">D3*E3</f>
        <v>34.520000000000003</v>
      </c>
      <c r="G3" s="5"/>
      <c r="H3" s="18" t="s">
        <v>15</v>
      </c>
      <c r="I3" s="1"/>
    </row>
    <row r="4" spans="1:13" ht="15" customHeight="1" x14ac:dyDescent="0.25">
      <c r="A4" s="20" t="s">
        <v>21</v>
      </c>
      <c r="B4" s="2" t="s">
        <v>30</v>
      </c>
      <c r="C4" s="2" t="s">
        <v>25</v>
      </c>
      <c r="D4" s="21">
        <v>1</v>
      </c>
      <c r="E4" s="9">
        <v>19.18</v>
      </c>
      <c r="F4" s="9">
        <f t="shared" si="0"/>
        <v>19.18</v>
      </c>
      <c r="G4" s="5"/>
      <c r="H4" s="1" t="s">
        <v>16</v>
      </c>
      <c r="I4" s="1"/>
    </row>
    <row r="5" spans="1:13" ht="15" customHeight="1" x14ac:dyDescent="0.25">
      <c r="A5" s="20" t="s">
        <v>22</v>
      </c>
      <c r="B5" s="2" t="s">
        <v>31</v>
      </c>
      <c r="C5" s="2" t="s">
        <v>26</v>
      </c>
      <c r="D5" s="21">
        <v>1</v>
      </c>
      <c r="E5" s="9">
        <v>33.840000000000003</v>
      </c>
      <c r="F5" s="9">
        <f t="shared" si="0"/>
        <v>33.840000000000003</v>
      </c>
      <c r="G5" s="5"/>
      <c r="H5" s="1" t="s">
        <v>17</v>
      </c>
      <c r="I5" s="4"/>
    </row>
    <row r="6" spans="1:13" ht="15" customHeight="1" x14ac:dyDescent="0.25">
      <c r="A6" s="20" t="s">
        <v>23</v>
      </c>
      <c r="B6" s="16" t="s">
        <v>32</v>
      </c>
      <c r="C6" s="2" t="s">
        <v>33</v>
      </c>
      <c r="D6" s="21">
        <v>1</v>
      </c>
      <c r="E6" s="9">
        <v>25.98</v>
      </c>
      <c r="F6" s="9">
        <f t="shared" si="0"/>
        <v>25.98</v>
      </c>
      <c r="G6" s="5"/>
      <c r="H6" s="1" t="s">
        <v>18</v>
      </c>
      <c r="I6" s="4"/>
      <c r="J6" s="3"/>
      <c r="K6" s="3"/>
    </row>
    <row r="7" spans="1:13" ht="15" customHeight="1" x14ac:dyDescent="0.25">
      <c r="A7" s="20"/>
      <c r="B7" s="17"/>
      <c r="C7" s="2"/>
      <c r="D7" s="21"/>
      <c r="E7" s="9"/>
      <c r="F7" s="9"/>
      <c r="G7" s="5"/>
      <c r="H7" s="18"/>
      <c r="I7" s="3"/>
    </row>
    <row r="8" spans="1:13" ht="15" customHeight="1" x14ac:dyDescent="0.25">
      <c r="A8" s="10"/>
      <c r="B8" s="2"/>
      <c r="C8" s="2"/>
      <c r="D8" s="2"/>
      <c r="E8" s="9"/>
      <c r="F8" s="9"/>
      <c r="G8" s="5"/>
      <c r="H8" s="1"/>
      <c r="I8" s="1"/>
    </row>
    <row r="9" spans="1:13" ht="15" customHeight="1" x14ac:dyDescent="0.25">
      <c r="A9" s="10"/>
      <c r="B9" s="2"/>
      <c r="C9" s="2"/>
      <c r="D9" s="2"/>
      <c r="E9" s="9"/>
      <c r="F9" s="9"/>
      <c r="G9" s="5"/>
      <c r="H9" s="1"/>
      <c r="I9" s="4"/>
    </row>
    <row r="10" spans="1:13" ht="15" customHeight="1" x14ac:dyDescent="0.25">
      <c r="A10" s="10"/>
      <c r="B10" s="2"/>
      <c r="C10" s="2"/>
      <c r="D10" s="2"/>
      <c r="E10" s="9"/>
      <c r="F10" s="9"/>
      <c r="G10" s="5"/>
      <c r="H10" s="1"/>
      <c r="I10" s="4"/>
    </row>
    <row r="11" spans="1:13" ht="15" customHeight="1" x14ac:dyDescent="0.25">
      <c r="A11" s="10"/>
      <c r="B11" s="2"/>
      <c r="C11" s="4"/>
      <c r="D11" s="2"/>
      <c r="E11" s="9"/>
      <c r="F11" s="9"/>
      <c r="G11" s="5"/>
      <c r="H11" s="1"/>
      <c r="I11" s="4"/>
    </row>
    <row r="12" spans="1:13" ht="15" customHeight="1" x14ac:dyDescent="0.25">
      <c r="A12" s="10"/>
      <c r="B12" s="2"/>
      <c r="C12" s="2"/>
      <c r="D12" s="2"/>
      <c r="E12" s="9"/>
      <c r="F12" s="9"/>
      <c r="G12" s="5"/>
      <c r="H12" s="1"/>
      <c r="I12" s="4"/>
    </row>
    <row r="13" spans="1:13" ht="15" customHeight="1" x14ac:dyDescent="0.25">
      <c r="A13" s="10"/>
      <c r="B13" s="2"/>
      <c r="C13" s="2"/>
      <c r="D13" s="2"/>
      <c r="E13" s="9"/>
      <c r="F13" s="9"/>
      <c r="G13" s="5"/>
      <c r="H13" s="1"/>
      <c r="I13" s="4"/>
    </row>
    <row r="14" spans="1:13" ht="15" customHeight="1" x14ac:dyDescent="0.25">
      <c r="A14" s="10"/>
      <c r="B14" s="2"/>
      <c r="C14" s="4"/>
      <c r="D14" s="2"/>
      <c r="E14" s="9"/>
      <c r="F14" s="9"/>
      <c r="G14" s="5"/>
      <c r="H14" s="1"/>
      <c r="I14" s="4"/>
    </row>
    <row r="15" spans="1:13" ht="15" customHeight="1" x14ac:dyDescent="0.25">
      <c r="A15" s="10"/>
      <c r="B15" s="2"/>
      <c r="C15" s="2"/>
      <c r="D15" s="2"/>
      <c r="E15" s="8"/>
      <c r="F15" s="9"/>
      <c r="G15" s="5"/>
      <c r="H15" s="3"/>
      <c r="I15" s="4"/>
    </row>
    <row r="16" spans="1:13" ht="15" customHeight="1" x14ac:dyDescent="0.25">
      <c r="A16" s="11"/>
      <c r="B16" s="11"/>
      <c r="C16" s="11"/>
      <c r="D16" s="12"/>
      <c r="E16" s="13"/>
      <c r="F16" s="9"/>
      <c r="G16" s="11"/>
      <c r="H16" s="11"/>
      <c r="I16" s="11"/>
      <c r="J16" s="11"/>
    </row>
    <row r="17" spans="1:10" ht="15" customHeight="1" x14ac:dyDescent="0.25">
      <c r="A17" s="11"/>
      <c r="B17" s="11"/>
      <c r="C17" s="11"/>
      <c r="D17" s="12"/>
      <c r="E17" s="13"/>
      <c r="F17" s="9"/>
      <c r="G17" s="11"/>
      <c r="H17" s="11"/>
      <c r="I17" s="11"/>
      <c r="J17" s="11"/>
    </row>
    <row r="18" spans="1:10" ht="15" customHeight="1" x14ac:dyDescent="0.25">
      <c r="A18" s="4"/>
      <c r="B18" s="4"/>
      <c r="C18" s="14"/>
      <c r="D18" s="14"/>
      <c r="E18" s="15"/>
      <c r="F18" s="15"/>
      <c r="G18" s="4"/>
      <c r="H18" s="4"/>
    </row>
    <row r="19" spans="1:10" x14ac:dyDescent="0.25">
      <c r="E19" s="8"/>
      <c r="F19" s="8"/>
    </row>
    <row r="20" spans="1:10" x14ac:dyDescent="0.25">
      <c r="E20" s="7" t="s">
        <v>7</v>
      </c>
      <c r="F20" s="5">
        <f>SUM(F2:F19)</f>
        <v>175.02</v>
      </c>
    </row>
  </sheetData>
  <phoneticPr fontId="3" type="noConversion"/>
  <hyperlinks>
    <hyperlink ref="H2" r:id="rId1" xr:uid="{47569AE6-6AA0-4875-B93F-ACB3A5943EC4}"/>
    <hyperlink ref="H4" r:id="rId2" xr:uid="{FCB99C6E-4A13-451F-A9C9-4E80B9322403}"/>
    <hyperlink ref="H5" r:id="rId3" xr:uid="{FF2B4745-4047-4C27-BB02-026AF58F36BA}"/>
    <hyperlink ref="H6" r:id="rId4" xr:uid="{60D3B8DD-194F-429A-BDAF-34584D29DCAA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bill_of_materials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Hancock, Dan</dc:creator>
  <cp:lastModifiedBy>Downey, Austin</cp:lastModifiedBy>
  <cp:lastPrinted>2025-05-01T19:35:57Z</cp:lastPrinted>
  <dcterms:created xsi:type="dcterms:W3CDTF">2025-03-06T14:44:50Z</dcterms:created>
  <dcterms:modified xsi:type="dcterms:W3CDTF">2026-07-29T02:37:09Z</dcterms:modified>
</cp:coreProperties>
</file>