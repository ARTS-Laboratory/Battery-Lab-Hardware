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accessories\cable-5\"/>
    </mc:Choice>
  </mc:AlternateContent>
  <xr:revisionPtr revIDLastSave="0" documentId="13_ncr:1_{A27FCA7C-9D80-45C4-9234-73C9A83FDE8C}" xr6:coauthVersionLast="47" xr6:coauthVersionMax="47" xr10:uidLastSave="{00000000-0000-0000-0000-000000000000}"/>
  <bookViews>
    <workbookView xWindow="0" yWindow="3090" windowWidth="21600" windowHeight="1129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4" i="1"/>
  <c r="F5" i="1"/>
  <c r="F9" i="1"/>
  <c r="F17" i="1"/>
  <c r="F16" i="1"/>
  <c r="F15" i="1"/>
  <c r="F14" i="1"/>
  <c r="F13" i="1"/>
  <c r="F12" i="1"/>
  <c r="F11" i="1"/>
  <c r="F10" i="1"/>
  <c r="F6" i="1" l="1"/>
  <c r="F7" i="1"/>
  <c r="F3" i="1"/>
  <c r="F2" i="1"/>
  <c r="F23" i="1" l="1"/>
</calcChain>
</file>

<file path=xl/sharedStrings.xml><?xml version="1.0" encoding="utf-8"?>
<sst xmlns="http://schemas.openxmlformats.org/spreadsheetml/2006/main" count="78" uniqueCount="74">
  <si>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</si>
  <si>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</si>
  <si>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</si>
  <si>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</si>
  <si>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</si>
  <si>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</si>
  <si>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</si>
  <si>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</si>
  <si>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</si>
  <si>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</si>
  <si>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</si>
  <si>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</si>
  <si>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</si>
  <si>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</si>
  <si>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</si>
  <si>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https://www.digikey.com/en/products/detail/anderson-power-products-inc/E32500-0009/14551095?utm_source=oemsecrets&amp;utm_medium=aggregator&amp;utm_campaign=buynow</t>
  </si>
  <si>
    <t>https://www.digikey.com/en/products/detail/anderson-power-products-inc/A320HL-MK/14552019?utm_source=oemsecrets&amp;utm_medium=aggregator&amp;utm_campaign=buynow</t>
  </si>
  <si>
    <t>EBC 320-2 Term Blade Female</t>
  </si>
  <si>
    <t>E32500-0009 (Connector)</t>
  </si>
  <si>
    <t>A320H (Connector handle)</t>
  </si>
  <si>
    <t>TERM BLADE FEMALE 1/0AWG SILVER</t>
  </si>
  <si>
    <t>E32500-0009</t>
  </si>
  <si>
    <t>A320HL-MK</t>
  </si>
  <si>
    <t>320-1150</t>
  </si>
  <si>
    <t>CONN RCPT HSG 2POS</t>
  </si>
  <si>
    <t>DIN LATCH HANDLE/LEVER/ HDW</t>
  </si>
  <si>
    <t>https://www.digikey.com/en/products/detail/anderson-power-products-inc/E320-35/14550315?s=N4IgTCBcDaIKIGYwAYC0CCsIC6BfIA</t>
  </si>
  <si>
    <t>4.0MM AUXILIARY SOCKET</t>
  </si>
  <si>
    <t xml:space="preserve"> EBC 320 Upper Auxiliary Contact</t>
  </si>
  <si>
    <t xml:space="preserve"> EBC 320 Lower Auxiliary Contact</t>
  </si>
  <si>
    <t>E320-35</t>
  </si>
  <si>
    <t>160-13</t>
  </si>
  <si>
    <t>160/320 LOW PIL/AUX SOCK 6MM</t>
  </si>
  <si>
    <t>https://www.digikey.com/en/products/detail/anderson-power-products-inc/160-13/10650230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</si>
  <si>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</si>
  <si>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</si>
  <si>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</si>
  <si>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</si>
  <si>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</si>
  <si>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</si>
  <si>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</si>
  <si>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</si>
  <si>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</si>
  <si>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</si>
  <si>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</si>
  <si>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</si>
  <si>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</si>
  <si>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</si>
  <si>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</si>
  <si>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</si>
  <si>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</si>
  <si>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</si>
  <si>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</si>
  <si>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</si>
  <si>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</si>
  <si>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</si>
  <si>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</si>
  <si>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</si>
  <si>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</si>
  <si>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</si>
  <si>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</si>
  <si>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</si>
  <si>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</si>
  <si>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</si>
  <si>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</si>
  <si>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</si>
  <si>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</si>
  <si>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</si>
  <si>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</si>
  <si>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</si>
  <si>
    <t>https://www.digikey.com/en/products/detail/anderson-power-products-inc/320-25/10650279</t>
  </si>
  <si>
    <t>320-25</t>
  </si>
  <si>
    <t>???  EBC 320 Lower Auxiliary Contact</t>
  </si>
  <si>
    <t>TERM BLADE FEMALE 14-18AWG SILV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</si>
</sst>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strike/>
      <u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7" fillId="0" borderId="0" xfId="0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7" fontId="7" fillId="0" borderId="0" xfId="0" applyNumberFormat="1" applyFont="1" applyAlignment="1">
      <alignment vertical="center"/>
    </xf>
    <xf numFmtId="0" fontId="8" fillId="0" borderId="0" xfId="1" applyFont="1"/>
    <xf numFmtId="0" fontId="7" fillId="0" borderId="0" xfId="0" applyFont="1" applyAlignment="1">
      <alignment horizontal="left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werwerx.com/stranded-hookup-wire-300volt-ul1007" TargetMode="External"/><Relationship Id="rId13" Type="http://schemas.openxmlformats.org/officeDocument/2006/relationships/hyperlink" Target="https://www.digikey.com/en/products/detail/molex/0191930200/3044482" TargetMode="External"/><Relationship Id="rId18" Type="http://schemas.openxmlformats.org/officeDocument/2006/relationships/hyperlink" Target="https://www.digikey.com/en/products/detail/anderson-power-products-inc/320-25/10650279" TargetMode="External"/><Relationship Id="rId3" Type="http://schemas.openxmlformats.org/officeDocument/2006/relationships/hyperlink" Target="https://www.digikey.com/en/products/detail/anderson-power-products-inc/A320HL-MK/14552019?utm_source=oemsecrets&amp;utm_medium=aggregator&amp;utm_campaign=buynow" TargetMode="External"/><Relationship Id="rId7" Type="http://schemas.openxmlformats.org/officeDocument/2006/relationships/hyperlink" Target="https://www.digikey.com/en/products/detail/anderson-power-products-inc/1339G5-BK/10650046" TargetMode="External"/><Relationship Id="rId12" Type="http://schemas.openxmlformats.org/officeDocument/2006/relationships/hyperlink" Target="https://www.digikey.com/en/products/detail/techflex/NMN0-50BK100/2524519" TargetMode="External"/><Relationship Id="rId17" Type="http://schemas.openxmlformats.org/officeDocument/2006/relationships/hyperlink" Target="https://www.digikey.com/en/products/detail/anderson-power-products-inc/E320-89/14550348" TargetMode="External"/><Relationship Id="rId2" Type="http://schemas.openxmlformats.org/officeDocument/2006/relationships/hyperlink" Target="https://www.digikey.com/en/products/detail/anderson-power-products-inc/E32500-0009/14551095?utm_source=oemsecrets&amp;utm_medium=aggregator&amp;utm_campaign=buynow" TargetMode="External"/><Relationship Id="rId16" Type="http://schemas.openxmlformats.org/officeDocument/2006/relationships/hyperlink" Target="https://www.digikey.com/en/products/detail/anderson-power-products-inc/320-23/14551433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powerwerx.com/red-black-bonded-zip-cord" TargetMode="External"/><Relationship Id="rId11" Type="http://schemas.openxmlformats.org/officeDocument/2006/relationships/hyperlink" Target="https://www.digikey.com/en/products/detail/remington-industries/16UL1007STRRED/11613259" TargetMode="External"/><Relationship Id="rId5" Type="http://schemas.openxmlformats.org/officeDocument/2006/relationships/hyperlink" Target="https://www.digikey.com/en/products/detail/anderson-power-products-inc/160-13/10650230" TargetMode="External"/><Relationship Id="rId15" Type="http://schemas.openxmlformats.org/officeDocument/2006/relationships/hyperlink" Target="https://www.digikey.com/en/products/detail/qualtek/Q5-2X-3-4-01-QB48IN-5/754962" TargetMode="External"/><Relationship Id="rId10" Type="http://schemas.openxmlformats.org/officeDocument/2006/relationships/hyperlink" Target="https://www.digikey.com/en/products/detail/remington-industries/16UL1007STRBLA/11613043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anderson-power-products-inc/E320-35/14550315?s=N4IgTCBcDaIKIGYwAYC0CCsIC6BfIA" TargetMode="External"/><Relationship Id="rId9" Type="http://schemas.openxmlformats.org/officeDocument/2006/relationships/hyperlink" Target="https://powerwerx.com/stranded-hookup-wire-300volt-ul1007" TargetMode="External"/><Relationship Id="rId14" Type="http://schemas.openxmlformats.org/officeDocument/2006/relationships/hyperlink" Target="https://www.digikey.com/en/products/detail/molex/0191930089/31876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3"/>
  <sheetViews>
    <sheetView tabSelected="1" zoomScale="85" zoomScaleNormal="85" workbookViewId="0">
      <selection activeCell="H24" sqref="H24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12</v>
      </c>
      <c r="E1" s="6" t="s">
        <v>0</v>
      </c>
      <c r="F1" s="6" t="s">
        <v>13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s="17" t="s">
        <v>17</v>
      </c>
      <c r="B2" s="2" t="s">
        <v>20</v>
      </c>
      <c r="C2" s="4" t="s">
        <v>23</v>
      </c>
      <c r="D2" s="19">
        <v>2</v>
      </c>
      <c r="E2" s="9">
        <v>30.75</v>
      </c>
      <c r="F2" s="9">
        <f>D2*E2</f>
        <v>61.5</v>
      </c>
      <c r="G2" s="5"/>
      <c r="H2" s="1" t="s">
        <v>14</v>
      </c>
      <c r="J2" s="2"/>
    </row>
    <row r="3" spans="1:13" ht="15" customHeight="1" x14ac:dyDescent="0.25">
      <c r="A3" s="18" t="s">
        <v>18</v>
      </c>
      <c r="B3" s="2" t="s">
        <v>24</v>
      </c>
      <c r="C3" s="2" t="s">
        <v>21</v>
      </c>
      <c r="D3" s="19">
        <v>1</v>
      </c>
      <c r="E3" s="9">
        <v>19.18</v>
      </c>
      <c r="F3" s="9">
        <f>D3*E3</f>
        <v>19.18</v>
      </c>
      <c r="G3" s="5"/>
      <c r="H3" s="1" t="s">
        <v>15</v>
      </c>
      <c r="I3" s="1"/>
    </row>
    <row r="4" spans="1:13" ht="15" customHeight="1" x14ac:dyDescent="0.25">
      <c r="A4" s="27" t="s">
        <v>19</v>
      </c>
      <c r="B4" s="23" t="s">
        <v>25</v>
      </c>
      <c r="C4" s="23" t="s">
        <v>22</v>
      </c>
      <c r="D4" s="23">
        <v>1</v>
      </c>
      <c r="E4" s="24">
        <v>33.840000000000003</v>
      </c>
      <c r="F4" s="24">
        <f>D4*E4</f>
        <v>33.840000000000003</v>
      </c>
      <c r="G4" s="25"/>
      <c r="H4" s="26" t="s">
        <v>16</v>
      </c>
      <c r="I4" s="1"/>
    </row>
    <row r="5" spans="1:13" ht="15" customHeight="1" x14ac:dyDescent="0.25">
      <c r="A5" s="18" t="s">
        <v>19</v>
      </c>
      <c r="B5" s="2" t="s">
        <v>68</v>
      </c>
      <c r="C5" s="4" t="s">
        <v>67</v>
      </c>
      <c r="D5" s="19">
        <v>1</v>
      </c>
      <c r="E5" s="9">
        <v>8.51</v>
      </c>
      <c r="F5" s="9">
        <f>D5*E5</f>
        <v>8.51</v>
      </c>
      <c r="G5" s="5"/>
      <c r="H5" s="1" t="s">
        <v>69</v>
      </c>
      <c r="I5" s="1"/>
    </row>
    <row r="6" spans="1:13" ht="15" customHeight="1" x14ac:dyDescent="0.25">
      <c r="A6" t="s">
        <v>28</v>
      </c>
      <c r="B6" s="2" t="s">
        <v>27</v>
      </c>
      <c r="C6" t="s">
        <v>30</v>
      </c>
      <c r="D6" s="19">
        <v>2</v>
      </c>
      <c r="E6" s="9">
        <v>11.21</v>
      </c>
      <c r="F6" s="9">
        <f t="shared" ref="F6:F9" si="0">D6*E6</f>
        <v>22.42</v>
      </c>
      <c r="H6" s="1" t="s">
        <v>26</v>
      </c>
      <c r="I6" s="4"/>
    </row>
    <row r="7" spans="1:13" ht="15" customHeight="1" x14ac:dyDescent="0.25">
      <c r="A7" s="21" t="s">
        <v>29</v>
      </c>
      <c r="B7" s="22" t="s">
        <v>32</v>
      </c>
      <c r="C7" s="23" t="s">
        <v>31</v>
      </c>
      <c r="D7" s="23">
        <v>2</v>
      </c>
      <c r="E7" s="24">
        <v>12.44</v>
      </c>
      <c r="F7" s="24">
        <f t="shared" si="0"/>
        <v>24.88</v>
      </c>
      <c r="G7" s="25"/>
      <c r="H7" s="26" t="s">
        <v>33</v>
      </c>
      <c r="I7" s="4"/>
      <c r="J7" s="3"/>
      <c r="K7" s="3"/>
    </row>
    <row r="8" spans="1:13" ht="15" customHeight="1" x14ac:dyDescent="0.25">
      <c r="A8" t="s">
        <v>72</v>
      </c>
      <c r="B8" s="16" t="s">
        <v>73</v>
      </c>
      <c r="C8" s="4" t="s">
        <v>71</v>
      </c>
      <c r="D8" s="19">
        <v>2</v>
      </c>
      <c r="E8" s="9">
        <v>11.25</v>
      </c>
      <c r="F8" s="9">
        <f t="shared" ref="F8" si="1">D8*E8</f>
        <v>22.5</v>
      </c>
      <c r="G8" s="5"/>
      <c r="H8" s="28" t="s">
        <v>70</v>
      </c>
      <c r="I8" s="4"/>
      <c r="J8" s="3"/>
      <c r="K8" s="3"/>
    </row>
    <row r="9" spans="1:13" ht="15" customHeight="1" x14ac:dyDescent="0.25">
      <c r="A9" t="s">
        <v>29</v>
      </c>
      <c r="B9" s="16" t="s">
        <v>64</v>
      </c>
      <c r="C9" s="4" t="s">
        <v>65</v>
      </c>
      <c r="D9" s="19">
        <v>2</v>
      </c>
      <c r="E9" s="9">
        <v>14</v>
      </c>
      <c r="F9" s="9">
        <f t="shared" si="0"/>
        <v>28</v>
      </c>
      <c r="G9" s="5"/>
      <c r="H9" s="1" t="s">
        <v>66</v>
      </c>
      <c r="I9" s="4"/>
      <c r="J9" s="3"/>
      <c r="K9" s="3"/>
    </row>
    <row r="10" spans="1:13" ht="15" customHeight="1" x14ac:dyDescent="0.25">
      <c r="A10" t="s">
        <v>34</v>
      </c>
      <c r="B10" s="2" t="s">
        <v>35</v>
      </c>
      <c r="C10" s="20" t="s">
        <v>36</v>
      </c>
      <c r="D10" s="2">
        <v>2</v>
      </c>
      <c r="E10" s="9">
        <v>2.72</v>
      </c>
      <c r="F10" s="9">
        <f>E10*D10</f>
        <v>5.44</v>
      </c>
      <c r="G10" s="5"/>
      <c r="H10" s="1" t="s">
        <v>37</v>
      </c>
    </row>
    <row r="11" spans="1:13" ht="15" customHeight="1" x14ac:dyDescent="0.25">
      <c r="A11" s="10" t="s">
        <v>38</v>
      </c>
      <c r="B11" s="2" t="s">
        <v>39</v>
      </c>
      <c r="C11" s="20" t="s">
        <v>40</v>
      </c>
      <c r="D11" s="2">
        <v>1</v>
      </c>
      <c r="E11" s="9">
        <v>12.54</v>
      </c>
      <c r="F11" s="9">
        <f t="shared" ref="F11:F13" si="2">E11*D11</f>
        <v>12.54</v>
      </c>
      <c r="G11" s="5"/>
      <c r="H11" s="1" t="s">
        <v>41</v>
      </c>
      <c r="I11" s="1" t="s">
        <v>42</v>
      </c>
    </row>
    <row r="12" spans="1:13" ht="15" customHeight="1" x14ac:dyDescent="0.25">
      <c r="A12" s="10" t="s">
        <v>43</v>
      </c>
      <c r="B12" s="2" t="s">
        <v>39</v>
      </c>
      <c r="C12" s="20" t="s">
        <v>44</v>
      </c>
      <c r="D12" s="2">
        <v>1</v>
      </c>
      <c r="E12" s="9">
        <v>12.54</v>
      </c>
      <c r="F12" s="9">
        <f t="shared" si="2"/>
        <v>12.54</v>
      </c>
      <c r="G12" s="5"/>
      <c r="H12" s="1" t="s">
        <v>41</v>
      </c>
      <c r="I12" s="1" t="s">
        <v>45</v>
      </c>
    </row>
    <row r="13" spans="1:13" ht="15" customHeight="1" x14ac:dyDescent="0.25">
      <c r="A13" s="10" t="s">
        <v>46</v>
      </c>
      <c r="B13" s="2" t="s">
        <v>47</v>
      </c>
      <c r="C13" s="20" t="s">
        <v>48</v>
      </c>
      <c r="D13" s="2">
        <v>1</v>
      </c>
      <c r="E13" s="9">
        <v>128.19</v>
      </c>
      <c r="F13" s="9">
        <f t="shared" si="2"/>
        <v>128.19</v>
      </c>
      <c r="G13" s="5"/>
      <c r="H13" s="1" t="s">
        <v>49</v>
      </c>
      <c r="I13" s="4"/>
    </row>
    <row r="14" spans="1:13" ht="15" customHeight="1" x14ac:dyDescent="0.25">
      <c r="A14" s="10" t="s">
        <v>50</v>
      </c>
      <c r="B14" s="2" t="s">
        <v>51</v>
      </c>
      <c r="C14" s="16" t="s">
        <v>52</v>
      </c>
      <c r="D14" s="2">
        <v>1</v>
      </c>
      <c r="E14" s="9">
        <v>72.62</v>
      </c>
      <c r="F14" s="9">
        <f t="shared" ref="F14:F17" si="3">D14*E14</f>
        <v>72.62</v>
      </c>
      <c r="G14" s="5"/>
      <c r="H14" s="1" t="s">
        <v>53</v>
      </c>
      <c r="I14" s="4"/>
    </row>
    <row r="15" spans="1:13" ht="15" customHeight="1" x14ac:dyDescent="0.25">
      <c r="A15" s="10" t="s">
        <v>54</v>
      </c>
      <c r="B15" s="2" t="s">
        <v>55</v>
      </c>
      <c r="C15" s="20">
        <v>191930200</v>
      </c>
      <c r="D15" s="2">
        <v>2</v>
      </c>
      <c r="E15" s="9">
        <v>0.5</v>
      </c>
      <c r="F15" s="9">
        <f t="shared" si="3"/>
        <v>1</v>
      </c>
      <c r="G15" s="5"/>
      <c r="H15" s="1" t="s">
        <v>56</v>
      </c>
      <c r="I15" s="4"/>
    </row>
    <row r="16" spans="1:13" ht="15" customHeight="1" x14ac:dyDescent="0.25">
      <c r="A16" s="10" t="s">
        <v>57</v>
      </c>
      <c r="B16" s="2" t="s">
        <v>58</v>
      </c>
      <c r="C16" s="16">
        <v>191930089</v>
      </c>
      <c r="D16" s="2">
        <v>2</v>
      </c>
      <c r="E16" s="9">
        <v>0.42</v>
      </c>
      <c r="F16" s="9">
        <f t="shared" si="3"/>
        <v>0.84</v>
      </c>
      <c r="G16" s="5"/>
      <c r="H16" s="1" t="s">
        <v>59</v>
      </c>
      <c r="I16" s="4"/>
    </row>
    <row r="17" spans="1:10" ht="15" customHeight="1" x14ac:dyDescent="0.25">
      <c r="A17" s="10" t="s">
        <v>60</v>
      </c>
      <c r="B17" s="2" t="s">
        <v>61</v>
      </c>
      <c r="C17" s="20" t="s">
        <v>62</v>
      </c>
      <c r="D17" s="2">
        <v>1</v>
      </c>
      <c r="E17" s="9">
        <v>6.22</v>
      </c>
      <c r="F17" s="9">
        <f t="shared" si="3"/>
        <v>6.22</v>
      </c>
      <c r="G17" s="5"/>
      <c r="H17" s="1" t="s">
        <v>63</v>
      </c>
      <c r="I17" s="4"/>
    </row>
    <row r="18" spans="1:10" ht="15" customHeight="1" x14ac:dyDescent="0.25">
      <c r="A18" s="10"/>
      <c r="B18" s="2"/>
      <c r="C18" s="2"/>
      <c r="D18" s="2"/>
      <c r="E18" s="8"/>
      <c r="F18" s="9"/>
      <c r="G18" s="5"/>
      <c r="H18" s="3"/>
      <c r="I18" s="4"/>
    </row>
    <row r="19" spans="1:10" ht="15" customHeight="1" x14ac:dyDescent="0.25">
      <c r="A19" s="11"/>
      <c r="B19" s="11"/>
      <c r="C19" s="11"/>
      <c r="D19" s="12"/>
      <c r="E19" s="13"/>
      <c r="F19" s="9"/>
      <c r="G19" s="11"/>
      <c r="H19" s="11"/>
      <c r="I19" s="11"/>
      <c r="J19" s="11"/>
    </row>
    <row r="20" spans="1:10" ht="15" customHeight="1" x14ac:dyDescent="0.25">
      <c r="A20" s="11"/>
      <c r="B20" s="11"/>
      <c r="C20" s="11"/>
      <c r="D20" s="12"/>
      <c r="E20" s="13"/>
      <c r="F20" s="9"/>
      <c r="G20" s="11"/>
      <c r="I20" s="11"/>
      <c r="J20" s="11"/>
    </row>
    <row r="21" spans="1:10" ht="15" customHeight="1" x14ac:dyDescent="0.25">
      <c r="A21" s="4"/>
      <c r="B21" s="4"/>
      <c r="C21" s="14"/>
      <c r="D21" s="14"/>
      <c r="E21" s="15"/>
      <c r="F21" s="15"/>
      <c r="G21" s="4"/>
      <c r="H21" s="4"/>
    </row>
    <row r="22" spans="1:10" x14ac:dyDescent="0.25">
      <c r="E22" s="8"/>
      <c r="F22" s="8"/>
    </row>
    <row r="23" spans="1:10" x14ac:dyDescent="0.25">
      <c r="E23" s="7" t="s">
        <v>7</v>
      </c>
      <c r="F23" s="5">
        <f>SUM(F2:F22)</f>
        <v>460.21999999999997</v>
      </c>
    </row>
  </sheetData>
  <phoneticPr fontId="3" type="noConversion"/>
  <hyperlinks>
    <hyperlink ref="H2" r:id="rId1" xr:uid="{47569AE6-6AA0-4875-B93F-ACB3A5943EC4}"/>
    <hyperlink ref="H3" r:id="rId2" xr:uid="{FCB99C6E-4A13-451F-A9C9-4E80B9322403}"/>
    <hyperlink ref="H4" r:id="rId3" xr:uid="{FF2B4745-4047-4C27-BB02-026AF58F36BA}"/>
    <hyperlink ref="H6" r:id="rId4" xr:uid="{C0E6E945-7E03-425E-862B-42F2D3A430D7}"/>
    <hyperlink ref="H7" r:id="rId5" xr:uid="{A8116950-CB98-4C59-8274-DB9EC6FD4DDE}"/>
    <hyperlink ref="H13" r:id="rId6" xr:uid="{29C65987-503D-4D38-A3A8-F300B92B5979}"/>
    <hyperlink ref="H10" r:id="rId7" xr:uid="{D49830EC-B643-4C9C-A66A-316B6E8D393B}"/>
    <hyperlink ref="H11" r:id="rId8" xr:uid="{DB6CFF9E-0CFE-4630-97DC-2259E72BBA6B}"/>
    <hyperlink ref="H12" r:id="rId9" xr:uid="{7F0A5667-B170-4E9F-A116-7812C5481D5D}"/>
    <hyperlink ref="I11" r:id="rId10" xr:uid="{47AB98CE-DF5D-4668-ABC4-20DA7A425CBD}"/>
    <hyperlink ref="I12" r:id="rId11" xr:uid="{FE305D2A-720D-4EAC-A689-433507294DC8}"/>
    <hyperlink ref="H14" r:id="rId12" xr:uid="{4AF02486-862F-4C90-B472-12C65FB0F86D}"/>
    <hyperlink ref="H15" r:id="rId13" xr:uid="{60DC3860-834C-416B-A80D-912D2A7218E7}"/>
    <hyperlink ref="H16" r:id="rId14" xr:uid="{DEEF517E-6B30-41FE-90B5-BDD5F67AF727}"/>
    <hyperlink ref="H17" r:id="rId15" xr:uid="{F28C2672-213B-4C58-924E-5743A03E60B9}"/>
    <hyperlink ref="H9" r:id="rId16" xr:uid="{0BF14A02-DB2B-44C8-ADFD-F6B888D0D1E2}"/>
    <hyperlink ref="H5" r:id="rId17" xr:uid="{D098FC55-60BA-44A1-88B5-F7A95F7F2234}"/>
    <hyperlink ref="H8" r:id="rId18" xr:uid="{E4B64C1A-2E26-4C6F-9252-C15670A96A6B}"/>
  </hyperlinks>
  <pageMargins left="0.7" right="0.7" top="0.75" bottom="0.75" header="0.3" footer="0.3"/>
  <pageSetup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2026-09-04T19:31:41Z</dcterms:modified>
</cp:coreProperties>
</file>