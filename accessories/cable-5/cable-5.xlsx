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ithub\Battery-Lab-Hardware\accessories\cable-5\"/>
    </mc:Choice>
  </mc:AlternateContent>
  <xr:revisionPtr revIDLastSave="0" documentId="13_ncr:1_{1A797BD0-3845-4126-BB8E-2335E24DF764}" xr6:coauthVersionLast="47" xr6:coauthVersionMax="47" xr10:uidLastSave="{00000000-0000-0000-0000-000000000000}"/>
  <bookViews>
    <workbookView xWindow="-16320" yWindow="-12765" windowWidth="16440" windowHeight="28320" xr2:uid="{FDAE7DA4-9528-4FC7-A320-70DA50473DCE}"/>
  </bookViews>
  <sheets>
    <sheet name="bill_of_materia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1" l="1"/>
  <c r="G10" i="1"/>
  <c r="G16" i="1"/>
  <c r="G17" i="1"/>
  <c r="G4" i="1"/>
  <c r="G3" i="1"/>
  <c r="G5" i="1"/>
  <c r="G15" i="1"/>
  <c r="G14" i="1"/>
  <c r="G13" i="1"/>
  <c r="G12" i="1"/>
  <c r="G9" i="1"/>
  <c r="G8" i="1"/>
  <c r="G7" i="1"/>
  <c r="G6" i="1"/>
  <c r="G2" i="1" l="1"/>
  <c r="G22" i="1" l="1"/>
</calcChain>
</file>

<file path=xl/sharedStrings.xml><?xml version="1.0" encoding="utf-8"?>
<sst xmlns="http://schemas.openxmlformats.org/spreadsheetml/2006/main" count="96" uniqueCount="78">
  <si>
    <t>Individual Cost</t>
  </si>
  <si>
    <t>Vendor 1</t>
  </si>
  <si>
    <t>Vendor 2</t>
  </si>
  <si>
    <t>Vendor 3</t>
  </si>
  <si>
    <t>Vendor 4</t>
  </si>
  <si>
    <t>Vendor 5</t>
  </si>
  <si>
    <t>Vendor 6</t>
  </si>
  <si>
    <t>Total</t>
  </si>
  <si>
    <t>Notes</t>
  </si>
  <si>
    <t>MFR Part Number</t>
  </si>
  <si>
    <t>Internal Part Name</t>
  </si>
  <si>
    <t>MFR / Vendor Description</t>
  </si>
  <si>
    <t>Amount Per Cable</t>
  </si>
  <si>
    <t>Total Cost (Per Cable)</t>
  </si>
  <si>
    <t>https://www.digikey.com/en/products/detail/anderson-power-products-inc/320-1150/10650211</t>
  </si>
  <si>
    <t>A320H (Connector handle)</t>
  </si>
  <si>
    <t>TERM BLADE FEMALE 1/0AWG SILVER</t>
  </si>
  <si>
    <t>320-1150</t>
  </si>
  <si>
    <t>CONN RCPT HSG 2POS</t>
  </si>
  <si>
    <t>8 AWG main contact</t>
  </si>
  <si>
    <t>TERM BLADE NON-GEND 8AWG SILVER</t>
  </si>
  <si>
    <t>1339G5-BK</t>
  </si>
  <si>
    <t>https://www.digikey.com/en/products/detail/anderson-power-products-inc/1339G5-BK/10650046</t>
  </si>
  <si>
    <t>Stranded Hookup Wire - Black</t>
  </si>
  <si>
    <t>Stranded Hookup Wire (300 Volt)</t>
  </si>
  <si>
    <t>Wire-ST-16-00-100</t>
  </si>
  <si>
    <t>https://powerwerx.com/stranded-hookup-wire-300volt-ul1007</t>
  </si>
  <si>
    <t>https://www.digikey.com/en/products/detail/remington-industries/16UL1007STRBLA/11613043</t>
  </si>
  <si>
    <t>Stranded Hookup Wire - Red</t>
  </si>
  <si>
    <t>Wire-ST-16-02-100</t>
  </si>
  <si>
    <t>https://www.digikey.com/en/products/detail/remington-industries/16UL1007STRRED/11613259</t>
  </si>
  <si>
    <t>8 AWG Red/black Wire</t>
  </si>
  <si>
    <t>Red/Black Bonded Zip Cord Easy ID Low Voltage Cable</t>
  </si>
  <si>
    <t>Wire-RB-08-50</t>
  </si>
  <si>
    <t>https://powerwerx.com/red-black-bonded-zip-cord</t>
  </si>
  <si>
    <t>Mesh Sleeving</t>
  </si>
  <si>
    <t>SLEEVING 0.5" ID POLY 100' BLACK</t>
  </si>
  <si>
    <t>NMN0.50BK100</t>
  </si>
  <si>
    <t>https://www.digikey.com/en/products/detail/techflex/NMN0-50BK100/2524519</t>
  </si>
  <si>
    <t>8 AWG Ring Terminal</t>
  </si>
  <si>
    <t>CONN RING CIRC 8AWG #8 CRIMP</t>
  </si>
  <si>
    <t>https://www.digikey.com/en/products/detail/molex/0191930200/3044482</t>
  </si>
  <si>
    <t>16 AWG Ring Terminal</t>
  </si>
  <si>
    <t>CONN RING CIRC 14-16AWG #8 CRIMP</t>
  </si>
  <si>
    <t>https://www.digikey.com/en/products/detail/molex/0191930089/3187614</t>
  </si>
  <si>
    <t>Adhesive Lined heat shrink</t>
  </si>
  <si>
    <t>HEATSHRINK 0.752" X 4' BLK 1=1PC</t>
  </si>
  <si>
    <t>Q5-2X-3/4-01-QB48IN-5</t>
  </si>
  <si>
    <t>https://www.digikey.com/en/products/detail/qualtek/Q5-2X-3-4-01-QB48IN-5/754962</t>
  </si>
  <si>
    <t>LOWER AUX. SOCKET CNT. 14/18 AWG</t>
  </si>
  <si>
    <t>320-23</t>
  </si>
  <si>
    <t>https://www.digikey.com/en/products/detail/anderson-power-products-inc/320-23/14551433</t>
  </si>
  <si>
    <t>E320-89</t>
  </si>
  <si>
    <t>320 DIN HANDLE KIT</t>
  </si>
  <si>
    <t>https://www.digikey.com/en/products/detail/anderson-power-products-inc/E320-89/14550348</t>
  </si>
  <si>
    <t>https://www.digikey.com/en/products/detail/anderson-power-products-inc/320-25/10650279</t>
  </si>
  <si>
    <t>320-25</t>
  </si>
  <si>
    <t>TERM BLADE FEMALE 14-18AWG SILV</t>
  </si>
  <si>
    <t>Main Female Housing</t>
  </si>
  <si>
    <t>A32500-0009</t>
  </si>
  <si>
    <t>https://www.digikey.com/en/products/detail/anderson-power-products-inc/A32500-0009/14833308?s=N4IgTCBcDaIIIGYwFYAMqC07UE4QF0BfIA</t>
  </si>
  <si>
    <t>Large Power Contacts</t>
  </si>
  <si>
    <t>Larger Auxiliary Contact</t>
  </si>
  <si>
    <t>Smaller Auxiliary Contact</t>
  </si>
  <si>
    <t>https://www.grainger.com/product/QUICKCABLE-Heat-Shrink-Tubing-0-75-in-64TX48</t>
  </si>
  <si>
    <t>Primary or Alternative Part</t>
  </si>
  <si>
    <t>Primary</t>
  </si>
  <si>
    <t>Alternative</t>
  </si>
  <si>
    <t>QUICKCABLE Heat Shrink Tubing: 0.75 in I.D. Before Shrinking, 0.25 in I.D. After Shrinking, 5 PK</t>
  </si>
  <si>
    <t>5662-005B</t>
  </si>
  <si>
    <t>Precut to 6" which can be nice</t>
  </si>
  <si>
    <t>8 AWG Red Wire</t>
  </si>
  <si>
    <t>8 AWG Black Wire</t>
  </si>
  <si>
    <t>https://www.digikey.com/en/products/detail/cnc-tech/3132-8-1-0100-004-1-TS/25587759</t>
  </si>
  <si>
    <t>https://www.digikey.com/en/products/detail/cnc-tech/3132-8-1-0100-001-1-TS/25587757</t>
  </si>
  <si>
    <t>3132-8-1-0100-001-1-TS</t>
  </si>
  <si>
    <t>3132-8-1-0100-004-1-TS</t>
  </si>
  <si>
    <t>UL3132, SILICONE WIRE, 8AWG,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</si>
</sst>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8" formatCode="&quot;$&quot;#,##0.00_);[Red]\(&quot;$&quot;#,##0.00\)"/>
    <numFmt numFmtId="164" formatCode="&quot;$&quot;#,##0.00"/>
    <numFmt numFmtId="165" formatCode="\$#,##0.00"/>
  </numFmts>
  <fonts count="7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</font>
    <font>
      <sz val="11"/>
      <color theme="10"/>
      <name val="Aptos Narrow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4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1"/>
    <xf numFmtId="0" fontId="0" fillId="0" borderId="0" xfId="0" applyAlignment="1">
      <alignment vertical="center"/>
    </xf>
    <xf numFmtId="0" fontId="1" fillId="0" borderId="0" xfId="1" applyAlignment="1">
      <alignment vertical="center" wrapText="1"/>
    </xf>
    <xf numFmtId="0" fontId="0" fillId="0" borderId="0" xfId="0" applyAlignment="1">
      <alignment vertical="center" wrapText="1"/>
    </xf>
    <xf numFmtId="7" fontId="0" fillId="0" borderId="0" xfId="0" applyNumberFormat="1" applyAlignment="1">
      <alignment vertical="center"/>
    </xf>
    <xf numFmtId="0" fontId="2" fillId="0" borderId="1" xfId="0" applyFont="1" applyBorder="1" applyAlignment="1">
      <alignment vertical="center"/>
    </xf>
    <xf numFmtId="7" fontId="2" fillId="0" borderId="0" xfId="0" applyNumberFormat="1" applyFont="1" applyAlignment="1">
      <alignment horizontal="right" vertical="center"/>
    </xf>
    <xf numFmtId="164" fontId="0" fillId="0" borderId="0" xfId="0" applyNumberFormat="1"/>
    <xf numFmtId="164" fontId="0" fillId="0" borderId="0" xfId="0" applyNumberFormat="1" applyAlignment="1">
      <alignment vertical="center"/>
    </xf>
    <xf numFmtId="0" fontId="0" fillId="0" borderId="0" xfId="0" applyAlignment="1">
      <alignment horizontal="left"/>
    </xf>
    <xf numFmtId="0" fontId="4" fillId="0" borderId="0" xfId="2" applyAlignment="1">
      <alignment vertical="top"/>
    </xf>
    <xf numFmtId="1" fontId="4" fillId="0" borderId="0" xfId="2" applyNumberFormat="1" applyAlignment="1">
      <alignment vertical="top"/>
    </xf>
    <xf numFmtId="165" fontId="4" fillId="0" borderId="0" xfId="2" applyNumberFormat="1" applyAlignment="1">
      <alignment vertical="top"/>
    </xf>
    <xf numFmtId="0" fontId="0" fillId="0" borderId="0" xfId="0" applyAlignment="1">
      <alignment horizontal="right" vertical="center" wrapText="1"/>
    </xf>
    <xf numFmtId="8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left" vertical="center" wrapText="1"/>
    </xf>
    <xf numFmtId="0" fontId="6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1" fillId="0" borderId="0" xfId="1" applyAlignment="1">
      <alignment vertical="top"/>
    </xf>
  </cellXfs>
  <cellStyles count="4">
    <cellStyle name="Hyperlink" xfId="1" builtinId="8"/>
    <cellStyle name="Hyperlink 2" xfId="3" xr:uid="{47B38DBD-1F5B-4A8C-867A-C157945EC6DB}"/>
    <cellStyle name="Normal" xfId="0" builtinId="0"/>
    <cellStyle name="Normal 2" xfId="2" xr:uid="{9123710A-AD88-4C64-B627-92812002B3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techflex/NMN0-50BK100/2524519" TargetMode="External"/><Relationship Id="rId13" Type="http://schemas.openxmlformats.org/officeDocument/2006/relationships/hyperlink" Target="https://www.digikey.com/en/products/detail/anderson-power-products-inc/E320-89/14550348" TargetMode="External"/><Relationship Id="rId18" Type="http://schemas.openxmlformats.org/officeDocument/2006/relationships/hyperlink" Target="https://www.digikey.com/en/products/detail/cnc-tech/3132-8-1-0100-001-1-TS/25587757" TargetMode="External"/><Relationship Id="rId3" Type="http://schemas.openxmlformats.org/officeDocument/2006/relationships/hyperlink" Target="https://www.digikey.com/en/products/detail/anderson-power-products-inc/1339G5-BK/10650046" TargetMode="External"/><Relationship Id="rId7" Type="http://schemas.openxmlformats.org/officeDocument/2006/relationships/hyperlink" Target="https://www.digikey.com/en/products/detail/remington-industries/16UL1007STRRED/11613259" TargetMode="External"/><Relationship Id="rId12" Type="http://schemas.openxmlformats.org/officeDocument/2006/relationships/hyperlink" Target="https://www.digikey.com/en/products/detail/anderson-power-products-inc/320-23/14551433" TargetMode="External"/><Relationship Id="rId17" Type="http://schemas.openxmlformats.org/officeDocument/2006/relationships/hyperlink" Target="https://www.digikey.com/en/products/detail/cnc-tech/3132-8-1-0100-004-1-TS/25587759" TargetMode="External"/><Relationship Id="rId2" Type="http://schemas.openxmlformats.org/officeDocument/2006/relationships/hyperlink" Target="https://powerwerx.com/red-black-bonded-zip-cord" TargetMode="External"/><Relationship Id="rId16" Type="http://schemas.openxmlformats.org/officeDocument/2006/relationships/hyperlink" Target="https://www.grainger.com/product/QUICKCABLE-Heat-Shrink-Tubing-0-75-in-64TX48" TargetMode="External"/><Relationship Id="rId1" Type="http://schemas.openxmlformats.org/officeDocument/2006/relationships/hyperlink" Target="https://www.digikey.com/en/products/detail/anderson-power-products-inc/320-1150/10650211" TargetMode="External"/><Relationship Id="rId6" Type="http://schemas.openxmlformats.org/officeDocument/2006/relationships/hyperlink" Target="https://www.digikey.com/en/products/detail/remington-industries/16UL1007STRBLA/11613043" TargetMode="External"/><Relationship Id="rId11" Type="http://schemas.openxmlformats.org/officeDocument/2006/relationships/hyperlink" Target="https://www.digikey.com/en/products/detail/qualtek/Q5-2X-3-4-01-QB48IN-5/754962" TargetMode="External"/><Relationship Id="rId5" Type="http://schemas.openxmlformats.org/officeDocument/2006/relationships/hyperlink" Target="https://powerwerx.com/stranded-hookup-wire-300volt-ul1007" TargetMode="External"/><Relationship Id="rId15" Type="http://schemas.openxmlformats.org/officeDocument/2006/relationships/hyperlink" Target="https://www.digikey.com/en/products/detail/anderson-power-products-inc/A32500-0009/14833308?s=N4IgTCBcDaIIIGYwFYAMqC07UE4QF0BfIA" TargetMode="External"/><Relationship Id="rId10" Type="http://schemas.openxmlformats.org/officeDocument/2006/relationships/hyperlink" Target="https://www.digikey.com/en/products/detail/molex/0191930089/3187614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https://powerwerx.com/stranded-hookup-wire-300volt-ul1007" TargetMode="External"/><Relationship Id="rId9" Type="http://schemas.openxmlformats.org/officeDocument/2006/relationships/hyperlink" Target="https://www.digikey.com/en/products/detail/molex/0191930200/3044482" TargetMode="External"/><Relationship Id="rId14" Type="http://schemas.openxmlformats.org/officeDocument/2006/relationships/hyperlink" Target="https://www.digikey.com/en/products/detail/anderson-power-products-inc/320-25/106502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3A36C-E8CE-4E50-A172-E48E2F9A45A8}">
  <dimension ref="A1:N22"/>
  <sheetViews>
    <sheetView tabSelected="1" zoomScale="115" zoomScaleNormal="85" workbookViewId="0">
      <selection activeCell="A10" sqref="A10"/>
    </sheetView>
  </sheetViews>
  <sheetFormatPr defaultColWidth="8.85546875" defaultRowHeight="15" x14ac:dyDescent="0.25"/>
  <cols>
    <col min="1" max="2" width="27.28515625" customWidth="1"/>
    <col min="3" max="3" width="37.85546875" customWidth="1"/>
    <col min="4" max="4" width="20.7109375" customWidth="1"/>
    <col min="5" max="5" width="15.85546875" bestFit="1" customWidth="1"/>
    <col min="6" max="6" width="13.42578125" bestFit="1" customWidth="1"/>
    <col min="7" max="7" width="18" customWidth="1"/>
    <col min="8" max="8" width="13" customWidth="1"/>
    <col min="9" max="9" width="79" bestFit="1" customWidth="1"/>
    <col min="10" max="10" width="45.42578125" bestFit="1" customWidth="1"/>
    <col min="11" max="11" width="83.42578125" customWidth="1"/>
    <col min="12" max="12" width="62.42578125" customWidth="1"/>
    <col min="13" max="13" width="55.85546875" customWidth="1"/>
    <col min="14" max="14" width="51" customWidth="1"/>
  </cols>
  <sheetData>
    <row r="1" spans="1:14" ht="15" customHeight="1" x14ac:dyDescent="0.25">
      <c r="A1" s="6" t="s">
        <v>10</v>
      </c>
      <c r="B1" s="6" t="s">
        <v>65</v>
      </c>
      <c r="C1" s="6" t="s">
        <v>11</v>
      </c>
      <c r="D1" s="6" t="s">
        <v>9</v>
      </c>
      <c r="E1" s="6" t="s">
        <v>12</v>
      </c>
      <c r="F1" s="6" t="s">
        <v>0</v>
      </c>
      <c r="G1" s="6" t="s">
        <v>13</v>
      </c>
      <c r="H1" s="6" t="s">
        <v>8</v>
      </c>
      <c r="I1" s="6" t="s">
        <v>1</v>
      </c>
      <c r="J1" s="6" t="s">
        <v>2</v>
      </c>
      <c r="K1" s="6" t="s">
        <v>3</v>
      </c>
      <c r="L1" s="6" t="s">
        <v>4</v>
      </c>
      <c r="M1" s="6" t="s">
        <v>5</v>
      </c>
      <c r="N1" s="6" t="s">
        <v>6</v>
      </c>
    </row>
    <row r="2" spans="1:14" ht="15" customHeight="1" x14ac:dyDescent="0.25">
      <c r="A2" s="17" t="s">
        <v>61</v>
      </c>
      <c r="B2" s="17" t="s">
        <v>66</v>
      </c>
      <c r="C2" s="2" t="s">
        <v>16</v>
      </c>
      <c r="D2" s="4" t="s">
        <v>17</v>
      </c>
      <c r="E2" s="19">
        <v>2</v>
      </c>
      <c r="F2" s="9">
        <v>30.75</v>
      </c>
      <c r="G2" s="9">
        <f>E2*F2</f>
        <v>61.5</v>
      </c>
      <c r="H2" s="5"/>
      <c r="I2" s="1" t="s">
        <v>14</v>
      </c>
      <c r="K2" s="2"/>
    </row>
    <row r="3" spans="1:14" ht="15" customHeight="1" x14ac:dyDescent="0.25">
      <c r="A3" s="18" t="s">
        <v>15</v>
      </c>
      <c r="B3" s="17" t="s">
        <v>66</v>
      </c>
      <c r="C3" s="2" t="s">
        <v>53</v>
      </c>
      <c r="D3" s="4" t="s">
        <v>52</v>
      </c>
      <c r="E3" s="19">
        <v>1</v>
      </c>
      <c r="F3" s="9">
        <v>8.51</v>
      </c>
      <c r="G3" s="9">
        <f>E3*F3</f>
        <v>8.51</v>
      </c>
      <c r="H3" s="5"/>
      <c r="I3" s="1" t="s">
        <v>54</v>
      </c>
      <c r="J3" s="1"/>
    </row>
    <row r="4" spans="1:14" ht="15" customHeight="1" x14ac:dyDescent="0.25">
      <c r="A4" t="s">
        <v>63</v>
      </c>
      <c r="B4" s="17" t="s">
        <v>66</v>
      </c>
      <c r="C4" s="16" t="s">
        <v>57</v>
      </c>
      <c r="D4" s="4" t="s">
        <v>56</v>
      </c>
      <c r="E4" s="19">
        <v>2</v>
      </c>
      <c r="F4" s="9">
        <v>11.25</v>
      </c>
      <c r="G4" s="9">
        <f t="shared" ref="G4" si="0">E4*F4</f>
        <v>22.5</v>
      </c>
      <c r="H4" s="5"/>
      <c r="I4" s="21" t="s">
        <v>55</v>
      </c>
      <c r="J4" s="4"/>
      <c r="K4" s="3"/>
      <c r="L4" s="3"/>
    </row>
    <row r="5" spans="1:14" ht="15" customHeight="1" x14ac:dyDescent="0.25">
      <c r="A5" t="s">
        <v>62</v>
      </c>
      <c r="B5" s="17" t="s">
        <v>66</v>
      </c>
      <c r="C5" s="16" t="s">
        <v>49</v>
      </c>
      <c r="D5" s="4" t="s">
        <v>50</v>
      </c>
      <c r="E5" s="19">
        <v>2</v>
      </c>
      <c r="F5" s="9">
        <v>14</v>
      </c>
      <c r="G5" s="9">
        <f t="shared" ref="G5" si="1">E5*F5</f>
        <v>28</v>
      </c>
      <c r="H5" s="5"/>
      <c r="I5" s="1" t="s">
        <v>51</v>
      </c>
      <c r="J5" s="4"/>
      <c r="K5" s="3"/>
      <c r="L5" s="3"/>
    </row>
    <row r="6" spans="1:14" ht="15" customHeight="1" x14ac:dyDescent="0.25">
      <c r="A6" t="s">
        <v>19</v>
      </c>
      <c r="B6" s="17" t="s">
        <v>66</v>
      </c>
      <c r="C6" s="2" t="s">
        <v>20</v>
      </c>
      <c r="D6" s="20" t="s">
        <v>21</v>
      </c>
      <c r="E6" s="2">
        <v>2</v>
      </c>
      <c r="F6" s="9">
        <v>2.72</v>
      </c>
      <c r="G6" s="9">
        <f>F6*E6</f>
        <v>5.44</v>
      </c>
      <c r="H6" s="5"/>
      <c r="I6" s="1" t="s">
        <v>22</v>
      </c>
    </row>
    <row r="7" spans="1:14" ht="15" customHeight="1" x14ac:dyDescent="0.25">
      <c r="A7" s="10" t="s">
        <v>23</v>
      </c>
      <c r="B7" s="17" t="s">
        <v>66</v>
      </c>
      <c r="C7" s="2" t="s">
        <v>24</v>
      </c>
      <c r="D7" s="20" t="s">
        <v>25</v>
      </c>
      <c r="E7" s="2">
        <v>1</v>
      </c>
      <c r="F7" s="9">
        <v>12.54</v>
      </c>
      <c r="G7" s="9">
        <f t="shared" ref="G7:G11" si="2">F7*E7</f>
        <v>12.54</v>
      </c>
      <c r="H7" s="5"/>
      <c r="I7" s="1" t="s">
        <v>27</v>
      </c>
      <c r="J7" s="1" t="s">
        <v>26</v>
      </c>
    </row>
    <row r="8" spans="1:14" ht="15" customHeight="1" x14ac:dyDescent="0.25">
      <c r="A8" s="10" t="s">
        <v>28</v>
      </c>
      <c r="B8" s="17" t="s">
        <v>66</v>
      </c>
      <c r="C8" s="2" t="s">
        <v>24</v>
      </c>
      <c r="D8" s="20" t="s">
        <v>29</v>
      </c>
      <c r="E8" s="2">
        <v>1</v>
      </c>
      <c r="F8" s="9">
        <v>12.54</v>
      </c>
      <c r="G8" s="9">
        <f t="shared" si="2"/>
        <v>12.54</v>
      </c>
      <c r="H8" s="5"/>
      <c r="I8" s="1" t="s">
        <v>30</v>
      </c>
      <c r="J8" s="1" t="s">
        <v>26</v>
      </c>
    </row>
    <row r="9" spans="1:14" ht="15" customHeight="1" x14ac:dyDescent="0.25">
      <c r="A9" s="10" t="s">
        <v>31</v>
      </c>
      <c r="B9" s="10" t="s">
        <v>67</v>
      </c>
      <c r="C9" s="2" t="s">
        <v>32</v>
      </c>
      <c r="D9" s="20" t="s">
        <v>33</v>
      </c>
      <c r="E9" s="2">
        <v>1</v>
      </c>
      <c r="F9" s="9">
        <v>128.19</v>
      </c>
      <c r="G9" s="9">
        <f t="shared" si="2"/>
        <v>128.19</v>
      </c>
      <c r="H9" s="5"/>
      <c r="I9" s="1" t="s">
        <v>34</v>
      </c>
      <c r="J9" s="4"/>
    </row>
    <row r="10" spans="1:14" ht="15" customHeight="1" x14ac:dyDescent="0.25">
      <c r="A10" s="10" t="s">
        <v>71</v>
      </c>
      <c r="B10" s="17" t="s">
        <v>66</v>
      </c>
      <c r="C10" s="2" t="s">
        <v>77</v>
      </c>
      <c r="D10" s="20" t="s">
        <v>76</v>
      </c>
      <c r="E10" s="2">
        <v>5</v>
      </c>
      <c r="F10" s="9">
        <v>4.4800000000000004</v>
      </c>
      <c r="G10" s="9">
        <f t="shared" si="2"/>
        <v>22.400000000000002</v>
      </c>
      <c r="H10" s="5"/>
      <c r="I10" s="1" t="s">
        <v>73</v>
      </c>
      <c r="J10" s="4"/>
    </row>
    <row r="11" spans="1:14" ht="15" customHeight="1" x14ac:dyDescent="0.25">
      <c r="A11" s="10" t="s">
        <v>72</v>
      </c>
      <c r="B11" s="17" t="s">
        <v>66</v>
      </c>
      <c r="C11" s="4" t="s">
        <v>75</v>
      </c>
      <c r="D11" s="20" t="s">
        <v>75</v>
      </c>
      <c r="E11" s="2">
        <v>5</v>
      </c>
      <c r="F11" s="9">
        <v>4.4800000000000004</v>
      </c>
      <c r="G11" s="9">
        <f t="shared" si="2"/>
        <v>22.400000000000002</v>
      </c>
      <c r="H11" s="5"/>
      <c r="I11" s="1" t="s">
        <v>74</v>
      </c>
      <c r="J11" s="4"/>
    </row>
    <row r="12" spans="1:14" ht="15" customHeight="1" x14ac:dyDescent="0.25">
      <c r="A12" s="10" t="s">
        <v>35</v>
      </c>
      <c r="B12" s="17" t="s">
        <v>66</v>
      </c>
      <c r="C12" s="2" t="s">
        <v>36</v>
      </c>
      <c r="D12" s="16" t="s">
        <v>37</v>
      </c>
      <c r="E12" s="2">
        <v>1</v>
      </c>
      <c r="F12" s="9">
        <v>72.62</v>
      </c>
      <c r="G12" s="9">
        <f t="shared" ref="G12:G17" si="3">E12*F12</f>
        <v>72.62</v>
      </c>
      <c r="H12" s="5"/>
      <c r="I12" s="1" t="s">
        <v>38</v>
      </c>
      <c r="J12" s="4"/>
    </row>
    <row r="13" spans="1:14" ht="15" customHeight="1" x14ac:dyDescent="0.25">
      <c r="A13" s="10" t="s">
        <v>39</v>
      </c>
      <c r="B13" s="17" t="s">
        <v>66</v>
      </c>
      <c r="C13" s="2" t="s">
        <v>40</v>
      </c>
      <c r="D13" s="20">
        <v>191930200</v>
      </c>
      <c r="E13" s="2">
        <v>2</v>
      </c>
      <c r="F13" s="9">
        <v>0.5</v>
      </c>
      <c r="G13" s="9">
        <f t="shared" si="3"/>
        <v>1</v>
      </c>
      <c r="H13" s="5"/>
      <c r="I13" s="1" t="s">
        <v>41</v>
      </c>
      <c r="J13" s="4"/>
    </row>
    <row r="14" spans="1:14" ht="15" customHeight="1" x14ac:dyDescent="0.25">
      <c r="A14" s="10" t="s">
        <v>42</v>
      </c>
      <c r="B14" s="17" t="s">
        <v>66</v>
      </c>
      <c r="C14" s="2" t="s">
        <v>43</v>
      </c>
      <c r="D14" s="16">
        <v>191930089</v>
      </c>
      <c r="E14" s="2">
        <v>2</v>
      </c>
      <c r="F14" s="9">
        <v>0.42</v>
      </c>
      <c r="G14" s="9">
        <f t="shared" si="3"/>
        <v>0.84</v>
      </c>
      <c r="H14" s="5"/>
      <c r="I14" s="1" t="s">
        <v>44</v>
      </c>
      <c r="J14" s="4"/>
    </row>
    <row r="15" spans="1:14" ht="15" customHeight="1" x14ac:dyDescent="0.25">
      <c r="A15" s="10" t="s">
        <v>45</v>
      </c>
      <c r="B15" s="17" t="s">
        <v>66</v>
      </c>
      <c r="C15" s="2" t="s">
        <v>46</v>
      </c>
      <c r="D15" s="20" t="s">
        <v>47</v>
      </c>
      <c r="E15" s="2">
        <v>1</v>
      </c>
      <c r="F15" s="9">
        <v>6.22</v>
      </c>
      <c r="G15" s="9">
        <f t="shared" si="3"/>
        <v>6.22</v>
      </c>
      <c r="H15" s="5"/>
      <c r="I15" s="1" t="s">
        <v>48</v>
      </c>
    </row>
    <row r="16" spans="1:14" ht="15" customHeight="1" x14ac:dyDescent="0.25">
      <c r="A16" s="10" t="s">
        <v>45</v>
      </c>
      <c r="B16" s="10" t="s">
        <v>67</v>
      </c>
      <c r="C16" s="2" t="s">
        <v>68</v>
      </c>
      <c r="D16" s="20" t="s">
        <v>69</v>
      </c>
      <c r="E16" s="2">
        <v>1</v>
      </c>
      <c r="F16" s="9">
        <v>12.94</v>
      </c>
      <c r="G16" s="9">
        <f t="shared" si="3"/>
        <v>12.94</v>
      </c>
      <c r="H16" s="5" t="s">
        <v>70</v>
      </c>
      <c r="I16" s="3" t="s">
        <v>64</v>
      </c>
      <c r="J16" s="3"/>
    </row>
    <row r="17" spans="1:11" ht="15" customHeight="1" x14ac:dyDescent="0.25">
      <c r="A17" s="10" t="s">
        <v>58</v>
      </c>
      <c r="B17" s="17" t="s">
        <v>66</v>
      </c>
      <c r="C17" s="2" t="s">
        <v>18</v>
      </c>
      <c r="D17" s="4" t="s">
        <v>59</v>
      </c>
      <c r="E17" s="2">
        <v>1</v>
      </c>
      <c r="F17" s="8">
        <v>23.22</v>
      </c>
      <c r="G17" s="9">
        <f t="shared" si="3"/>
        <v>23.22</v>
      </c>
      <c r="H17" s="5"/>
      <c r="I17" s="3" t="s">
        <v>60</v>
      </c>
      <c r="J17" s="4"/>
    </row>
    <row r="18" spans="1:11" ht="15" customHeight="1" x14ac:dyDescent="0.25">
      <c r="A18" s="11"/>
      <c r="B18" s="11"/>
      <c r="C18" s="11"/>
      <c r="D18" s="11"/>
      <c r="E18" s="12"/>
      <c r="F18" s="13"/>
      <c r="G18" s="9"/>
      <c r="H18" s="11"/>
      <c r="I18" s="11"/>
      <c r="J18" s="11"/>
      <c r="K18" s="11"/>
    </row>
    <row r="19" spans="1:11" ht="15" customHeight="1" x14ac:dyDescent="0.25">
      <c r="A19" s="11"/>
      <c r="B19" s="11"/>
      <c r="C19" s="11"/>
      <c r="D19" s="11"/>
      <c r="E19" s="12"/>
      <c r="F19" s="13"/>
      <c r="G19" s="9"/>
      <c r="H19" s="11"/>
      <c r="J19" s="11"/>
      <c r="K19" s="11"/>
    </row>
    <row r="20" spans="1:11" ht="15" customHeight="1" x14ac:dyDescent="0.25">
      <c r="A20" s="4"/>
      <c r="B20" s="4"/>
      <c r="C20" s="4"/>
      <c r="D20" s="14"/>
      <c r="E20" s="14"/>
      <c r="F20" s="15"/>
      <c r="G20" s="15"/>
      <c r="H20" s="4"/>
      <c r="I20" s="4"/>
    </row>
    <row r="21" spans="1:11" x14ac:dyDescent="0.25">
      <c r="F21" s="8"/>
      <c r="G21" s="8"/>
    </row>
    <row r="22" spans="1:11" x14ac:dyDescent="0.25">
      <c r="F22" s="7" t="s">
        <v>7</v>
      </c>
      <c r="G22" s="5">
        <f>SUM(G2:G21)</f>
        <v>440.86</v>
      </c>
    </row>
  </sheetData>
  <phoneticPr fontId="3" type="noConversion"/>
  <hyperlinks>
    <hyperlink ref="I2" r:id="rId1" xr:uid="{47569AE6-6AA0-4875-B93F-ACB3A5943EC4}"/>
    <hyperlink ref="I9" r:id="rId2" xr:uid="{29C65987-503D-4D38-A3A8-F300B92B5979}"/>
    <hyperlink ref="I6" r:id="rId3" xr:uid="{D49830EC-B643-4C9C-A66A-316B6E8D393B}"/>
    <hyperlink ref="J7" r:id="rId4" xr:uid="{DB6CFF9E-0CFE-4630-97DC-2259E72BBA6B}"/>
    <hyperlink ref="J8" r:id="rId5" xr:uid="{7F0A5667-B170-4E9F-A116-7812C5481D5D}"/>
    <hyperlink ref="I7" r:id="rId6" xr:uid="{47AB98CE-DF5D-4668-ABC4-20DA7A425CBD}"/>
    <hyperlink ref="I8" r:id="rId7" xr:uid="{FE305D2A-720D-4EAC-A689-433507294DC8}"/>
    <hyperlink ref="I12" r:id="rId8" xr:uid="{4AF02486-862F-4C90-B472-12C65FB0F86D}"/>
    <hyperlink ref="I13" r:id="rId9" xr:uid="{60DC3860-834C-416B-A80D-912D2A7218E7}"/>
    <hyperlink ref="I14" r:id="rId10" xr:uid="{DEEF517E-6B30-41FE-90B5-BDD5F67AF727}"/>
    <hyperlink ref="I15" r:id="rId11" xr:uid="{F28C2672-213B-4C58-924E-5743A03E60B9}"/>
    <hyperlink ref="I5" r:id="rId12" xr:uid="{0BF14A02-DB2B-44C8-ADFD-F6B888D0D1E2}"/>
    <hyperlink ref="I3" r:id="rId13" xr:uid="{D098FC55-60BA-44A1-88B5-F7A95F7F2234}"/>
    <hyperlink ref="I4" r:id="rId14" xr:uid="{E4B64C1A-2E26-4C6F-9252-C15670A96A6B}"/>
    <hyperlink ref="I17" r:id="rId15" xr:uid="{BC482846-CA0B-4C8C-A6F1-3CDFDF09F63D}"/>
    <hyperlink ref="I16" r:id="rId16" xr:uid="{33EA6662-3BF5-4567-9053-50ED0DB9E78A}"/>
    <hyperlink ref="I10" r:id="rId17" xr:uid="{481207C2-2276-4195-833B-5B8F0CF49279}"/>
    <hyperlink ref="I11" r:id="rId18" xr:uid="{9A6ACCBE-7885-4833-B391-4A619D41B841}"/>
  </hyperlinks>
  <pageMargins left="0.7" right="0.7" top="0.75" bottom="0.75" header="0.3" footer="0.3"/>
  <pageSetup orientation="portrait" r:id="rId1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bill_of_materials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Hancock, Dan</dc:creator>
  <cp:lastModifiedBy>Downey, Austin</cp:lastModifiedBy>
  <cp:lastPrinted>2025-05-01T19:35:57Z</cp:lastPrinted>
  <dcterms:created xsi:type="dcterms:W3CDTF">2025-03-06T14:44:50Z</dcterms:created>
  <dcterms:modified xsi:type="dcterms:W3CDTF">2026-09-11T18:59:05Z</dcterms:modified>
</cp:coreProperties>
</file>